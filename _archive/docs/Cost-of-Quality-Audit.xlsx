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aily Log" sheetId="2" state="visible" r:id="rId4"/>
    <sheet name="Assumptions" sheetId="3" state="visible" r:id="rId5"/>
    <sheet name="Weekly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<sst xmlns="http://schemas.openxmlformats.org/spreadsheetml/2006/main" count="87" uniqueCount="75">
  <si>
    <t xml:space="preserve">COST OF QUALITY + INVENTORY AUDIT — How To Use</t>
  </si>
  <si>
    <t xml:space="preserve">THE IDEA</t>
  </si>
  <si>
    <t xml:space="preserve">Every day eggs move: Processed (graded) → Packed (by size) → Shipped (to customer) → what's left sits in the Warehouse. If you measure all four, any gap is either grade loss or storage shrink — both are real money.</t>
  </si>
  <si>
    <t xml:space="preserve">THE FORMULA THE WORKBOOK USES</t>
  </si>
  <si>
    <t xml:space="preserve">Expected Inventory = Yesterday's Actual Inventory + Today's Packed - Today's Shipped
Storage Variance   = Expected - Actual    (positive = eggs missing)
Grade Loss         = Processed - Total Packed   (positive = lost on the grader)
$ Cost of Quality  = (Grade Loss + Storage Variance) × $/case  (set on Assumptions)</t>
  </si>
  <si>
    <t xml:space="preserve">FILL IN DAILY ON THE "Daily Log" TAB</t>
  </si>
  <si>
    <t xml:space="preserve">Yellow cells with blue text are inputs — only those. The gray/pink columns compute themselves.
  • Processed: cases that went through the grader (all sizes combined).
  • Packed Jumbo / XL / Large / Medium / Small / Pullet / Nest Run: graded output, in cases.
  • Shipped Jumbo / XL / Large / Medium / Small / Pullet / Nest Run: what left for customers today.
  • Inv (actual) by size: a physical count taken at end of day. THIS is the audit step.
  • Notes: anything unusual (truck broke down, washer issue, etc.).</t>
  </si>
  <si>
    <t xml:space="preserve">READING THE COLORS</t>
  </si>
  <si>
    <t xml:space="preserve">  • Pink columns are loss/variance columns — anything non-zero is money on the floor.
  • Conditional formatting deepens to red as variance grows.
  • Grade Loss % above 2% (your tolerance, set on Assumptions) starts turning red.
  • Storage Variance % above 0.5% likewise.</t>
  </si>
  <si>
    <t xml:space="preserve">SET YOUR LEVERS ON THE "Assumptions" TAB</t>
  </si>
  <si>
    <t xml:space="preserve">  • $ per case — drives the $ Cost of Quality column. Use your average sale price/case.
  • Starting cases on hand — the warehouse inventory on the morning of the first day (5/25/26).
  • Acceptable thresholds — adjust if 2% / 0.5% aren't your operational targets.</t>
  </si>
  <si>
    <t xml:space="preserve">WEEKLY ROLLUP</t>
  </si>
  <si>
    <t xml:space="preserve">The Weekly Summary tab auto-rolls each Mon-Sun week. Look for the trend — losses creeping up across weeks means something has changed (grader settings, a new SKU, a storage handling habit).
12-week total at the bottom is the headline number to bring to leadership.</t>
  </si>
  <si>
    <t xml:space="preserve">AUDIT CADENCE — RECOMMENDED</t>
  </si>
  <si>
    <t xml:space="preserve">  • Daily: enter Processed, Packed, Shipped at end of shift.
  • Daily or 3×/week: physical inventory count by size. Without an actual count the Variance column is blind.
  • Weekly: review Weekly Summary; investigate any week with &gt; 2% grade loss or &gt; 0.5% storage variance.
  • Monthly: tie out total $ Cost of Quality and compare to last month.</t>
  </si>
  <si>
    <t xml:space="preserve">RUSHTOWN — COST OF QUALITY + INVENTORY AUDIT</t>
  </si>
  <si>
    <t xml:space="preserve">Date</t>
  </si>
  <si>
    <t xml:space="preserve">Processed</t>
  </si>
  <si>
    <t xml:space="preserve">PACKED — by size (cases)</t>
  </si>
  <si>
    <t xml:space="preserve">Total Packed</t>
  </si>
  <si>
    <t xml:space="preserve">Grade Loss</t>
  </si>
  <si>
    <t xml:space="preserve">Grade Loss %</t>
  </si>
  <si>
    <t xml:space="preserve">SHIPPED — by size (cases)</t>
  </si>
  <si>
    <t xml:space="preserve">Total Shipped</t>
  </si>
  <si>
    <t xml:space="preserve">INVENTORY (Actual physical count) — cases</t>
  </si>
  <si>
    <t xml:space="preserve">Total Inv Actual</t>
  </si>
  <si>
    <t xml:space="preserve">Expected Inv</t>
  </si>
  <si>
    <t xml:space="preserve">Storage Variance</t>
  </si>
  <si>
    <t xml:space="preserve">Variance %</t>
  </si>
  <si>
    <t xml:space="preserve">$ Cost of Quality</t>
  </si>
  <si>
    <t xml:space="preserve">Notes</t>
  </si>
  <si>
    <t xml:space="preserve">Processed (cases)</t>
  </si>
  <si>
    <t xml:space="preserve">Packed Jumbo</t>
  </si>
  <si>
    <t xml:space="preserve">Packed XL</t>
  </si>
  <si>
    <t xml:space="preserve">Packed Large</t>
  </si>
  <si>
    <t xml:space="preserve">Packed Medium</t>
  </si>
  <si>
    <t xml:space="preserve">Packed Small</t>
  </si>
  <si>
    <t xml:space="preserve">Packed Pullet</t>
  </si>
  <si>
    <t xml:space="preserve">Packed Nest Run</t>
  </si>
  <si>
    <t xml:space="preserve">Shipped Jumbo</t>
  </si>
  <si>
    <t xml:space="preserve">Shipped XL</t>
  </si>
  <si>
    <t xml:space="preserve">Shipped Large</t>
  </si>
  <si>
    <t xml:space="preserve">Shipped Medium</t>
  </si>
  <si>
    <t xml:space="preserve">Shipped Small</t>
  </si>
  <si>
    <t xml:space="preserve">Shipped Pullet</t>
  </si>
  <si>
    <t xml:space="preserve">Shipped Nest Run</t>
  </si>
  <si>
    <t xml:space="preserve">Inv Jumbo (actual)</t>
  </si>
  <si>
    <t xml:space="preserve">Inv XL (actual)</t>
  </si>
  <si>
    <t xml:space="preserve">Inv Large (actual)</t>
  </si>
  <si>
    <t xml:space="preserve">Inv Medium (actual)</t>
  </si>
  <si>
    <t xml:space="preserve">Inv Small (actual)</t>
  </si>
  <si>
    <t xml:space="preserve">Inv Pullet (actual)</t>
  </si>
  <si>
    <t xml:space="preserve">Inv Nest Run (actual)</t>
  </si>
  <si>
    <t xml:space="preserve">Total Inv (actual)</t>
  </si>
  <si>
    <t xml:space="preserve">ASSUMPTIONS &amp; OPENING POSITION</t>
  </si>
  <si>
    <t xml:space="preserve">Egg pricing</t>
  </si>
  <si>
    <t xml:space="preserve">$ per case (avg sale)</t>
  </si>
  <si>
    <t xml:space="preserve">Set to your average $/case revenue. Drives the Cost of Quality calc.</t>
  </si>
  <si>
    <t xml:space="preserve">Opening inventory</t>
  </si>
  <si>
    <t xml:space="preserve">Starting cases on hand</t>
  </si>
  <si>
    <t xml:space="preserve">Total cases physically in warehouse on the first day (Daily Log row 5). All sizes combined.</t>
  </si>
  <si>
    <t xml:space="preserve">Targets</t>
  </si>
  <si>
    <t xml:space="preserve">Acceptable grade loss %</t>
  </si>
  <si>
    <t xml:space="preserve">If grade loss runs higher than this, the cell turns red.</t>
  </si>
  <si>
    <t xml:space="preserve">Acceptable storage variance %</t>
  </si>
  <si>
    <t xml:space="preserve">Tolerance for storage shrink — anything above this is investigated.</t>
  </si>
  <si>
    <t xml:space="preserve">WEEKLY ROLLUP — COST OF QUALITY &amp; INVENTORY HEALTH</t>
  </si>
  <si>
    <t xml:space="preserve">Week Starting</t>
  </si>
  <si>
    <t xml:space="preserve">Packed</t>
  </si>
  <si>
    <t xml:space="preserve">Grade %</t>
  </si>
  <si>
    <t xml:space="preserve">Shipped</t>
  </si>
  <si>
    <t xml:space="preserve">Storage Shrink</t>
  </si>
  <si>
    <t xml:space="preserve">Shrink %</t>
  </si>
  <si>
    <t xml:space="preserve">$ CoQ Total</t>
  </si>
  <si>
    <t xml:space="preserve">12-WEEK 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</si>
</sst>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;\(#,##0\);\-"/>
    <numFmt numFmtId="167" formatCode="0.0%;\(0.0%\);\-"/>
    <numFmt numFmtId="168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4A148C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A148C"/>
        <bgColor rgb="FF6A1B9A"/>
      </patternFill>
    </fill>
    <fill>
      <patternFill patternType="solid">
        <fgColor rgb="FFF3E5F5"/>
        <bgColor rgb="FFFFEBEE"/>
      </patternFill>
    </fill>
    <fill>
      <patternFill patternType="solid">
        <fgColor rgb="FF6A1B9A"/>
        <bgColor rgb="FF4A148C"/>
      </patternFill>
    </fill>
    <fill>
      <patternFill patternType="solid">
        <fgColor rgb="FFE1BEE7"/>
        <bgColor rgb="FFCCCCCC"/>
      </patternFill>
    </fill>
    <fill>
      <patternFill patternType="solid">
        <fgColor rgb="FFFFFDE7"/>
        <bgColor rgb="FFFFFFFF"/>
      </patternFill>
    </fill>
    <fill>
      <patternFill patternType="solid">
        <fgColor rgb="FFF5F5F5"/>
        <bgColor rgb="FFFFFDE7"/>
      </patternFill>
    </fill>
    <fill>
      <patternFill patternType="solid">
        <fgColor rgb="FFFFEBEE"/>
        <bgColor rgb="FFF3E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CCCCC"/>
      <rgbColor rgb="FF808080"/>
      <rgbColor rgb="FF9999FF"/>
      <rgbColor rgb="FF993366"/>
      <rgbColor rgb="FFFFFDE7"/>
      <rgbColor rgb="FFF5F5F5"/>
      <rgbColor rgb="FF4A148C"/>
      <rgbColor rgb="FFFF8080"/>
      <rgbColor rgb="FF0066CC"/>
      <rgbColor rgb="FFE1B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5F5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1" t="s">
        <v>0</v>
      </c>
    </row>
    <row r="2" customFormat="false" ht="7.5" hidden="false" customHeight="true" outlineLevel="0" collapsed="false">
      <c r="A2" s="1"/>
    </row>
    <row r="3" customFormat="false" ht="15" hidden="false" customHeight="false" outlineLevel="0" collapsed="false">
      <c r="A3" s="2" t="s">
        <v>1</v>
      </c>
    </row>
    <row r="4" customFormat="false" ht="39.75" hidden="false" customHeight="tru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75.75" hidden="false" customHeight="true" outlineLevel="0" collapsed="false">
      <c r="A7" s="3" t="s">
        <v>4</v>
      </c>
    </row>
    <row r="9" customFormat="false" ht="15" hidden="false" customHeight="false" outlineLevel="0" collapsed="false">
      <c r="A9" s="2" t="s">
        <v>5</v>
      </c>
    </row>
    <row r="10" customFormat="false" ht="108" hidden="false" customHeight="true" outlineLevel="0" collapsed="false">
      <c r="A10" s="3" t="s">
        <v>6</v>
      </c>
    </row>
    <row r="12" customFormat="false" ht="15" hidden="false" customHeight="false" outlineLevel="0" collapsed="false">
      <c r="A12" s="2" t="s">
        <v>7</v>
      </c>
    </row>
    <row r="13" customFormat="false" ht="75.75" hidden="false" customHeight="true" outlineLevel="0" collapsed="false">
      <c r="A13" s="3" t="s">
        <v>8</v>
      </c>
    </row>
    <row r="15" customFormat="false" ht="15" hidden="false" customHeight="false" outlineLevel="0" collapsed="false">
      <c r="A15" s="2" t="s">
        <v>9</v>
      </c>
    </row>
    <row r="16" customFormat="false" ht="60" hidden="false" customHeight="true" outlineLevel="0" collapsed="false">
      <c r="A16" s="3" t="s">
        <v>10</v>
      </c>
    </row>
    <row r="18" customFormat="false" ht="15" hidden="false" customHeight="false" outlineLevel="0" collapsed="false">
      <c r="A18" s="2" t="s">
        <v>11</v>
      </c>
    </row>
    <row r="19" customFormat="false" ht="43.5" hidden="false" customHeight="true" outlineLevel="0" collapsed="false">
      <c r="A19" s="3" t="s">
        <v>12</v>
      </c>
    </row>
    <row r="21" customFormat="false" ht="15" hidden="false" customHeight="false" outlineLevel="0" collapsed="false">
      <c r="A21" s="2" t="s">
        <v>13</v>
      </c>
    </row>
    <row r="22" customFormat="false" ht="75.75" hidden="false" customHeight="true" outlineLevel="0" collapsed="false">
      <c r="A22" s="3" t="s">
        <v>14</v>
      </c>
    </row>
  </sheetData>
  <mergeCells count="1">
    <mergeCell ref="A1: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6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8" min="17" style="0" width="10"/>
    <col collapsed="false" customWidth="true" hidden="false" outlineLevel="0" max="19" min="19" style="0" width="11"/>
    <col collapsed="false" customWidth="true" hidden="false" outlineLevel="0" max="20" min="20" style="0" width="13"/>
    <col collapsed="false" customWidth="true" hidden="false" outlineLevel="0" max="21" min="21" style="0" width="10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4" min="24" style="0" width="11"/>
    <col collapsed="false" customWidth="true" hidden="false" outlineLevel="0" max="26" min="25" style="0" width="10"/>
    <col collapsed="false" customWidth="true" hidden="false" outlineLevel="0" max="27" min="27" style="0" width="11"/>
    <col collapsed="false" customWidth="true" hidden="false" outlineLevel="0" max="28" min="28" style="0" width="15"/>
    <col collapsed="false" customWidth="true" hidden="false" outlineLevel="0" max="30" min="29" style="0" width="14"/>
    <col collapsed="false" customWidth="true" hidden="false" outlineLevel="0" max="31" min="31" style="0" width="12"/>
    <col collapsed="false" customWidth="true" hidden="false" outlineLevel="0" max="32" min="32" style="0" width="16"/>
    <col collapsed="false" customWidth="true" hidden="false" outlineLevel="0" max="33" min="33" style="0" width="28"/>
  </cols>
  <sheetData>
    <row r="1" customFormat="false" ht="25.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3" customFormat="false" ht="18" hidden="false" customHeight="true" outlineLevel="0" collapsed="false">
      <c r="A3" s="4" t="s">
        <v>16</v>
      </c>
      <c r="B3" s="4" t="s">
        <v>17</v>
      </c>
      <c r="C3" s="5" t="s">
        <v>18</v>
      </c>
      <c r="D3" s="5"/>
      <c r="E3" s="5"/>
      <c r="F3" s="5"/>
      <c r="G3" s="5"/>
      <c r="H3" s="5"/>
      <c r="I3" s="5"/>
      <c r="J3" s="4" t="s">
        <v>19</v>
      </c>
      <c r="K3" s="4" t="s">
        <v>20</v>
      </c>
      <c r="L3" s="4" t="s">
        <v>21</v>
      </c>
      <c r="M3" s="5" t="s">
        <v>22</v>
      </c>
      <c r="N3" s="5"/>
      <c r="O3" s="5"/>
      <c r="P3" s="5"/>
      <c r="Q3" s="5"/>
      <c r="R3" s="5"/>
      <c r="S3" s="5"/>
      <c r="T3" s="4" t="s">
        <v>23</v>
      </c>
      <c r="U3" s="5" t="s">
        <v>24</v>
      </c>
      <c r="V3" s="5"/>
      <c r="W3" s="5"/>
      <c r="X3" s="5"/>
      <c r="Y3" s="5"/>
      <c r="Z3" s="5"/>
      <c r="AA3" s="5"/>
      <c r="AB3" s="4" t="s">
        <v>25</v>
      </c>
      <c r="AC3" s="4" t="s">
        <v>26</v>
      </c>
      <c r="AD3" s="4" t="s">
        <v>27</v>
      </c>
      <c r="AE3" s="4" t="s">
        <v>28</v>
      </c>
      <c r="AF3" s="4" t="s">
        <v>29</v>
      </c>
      <c r="AG3" s="4" t="s">
        <v>30</v>
      </c>
    </row>
    <row r="4" customFormat="false" ht="30" hidden="false" customHeight="true" outlineLevel="0" collapsed="false">
      <c r="A4" s="6" t="s">
        <v>16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19</v>
      </c>
      <c r="K4" s="6" t="s">
        <v>20</v>
      </c>
      <c r="L4" s="6" t="s">
        <v>21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  <c r="R4" s="6" t="s">
        <v>44</v>
      </c>
      <c r="S4" s="6" t="s">
        <v>45</v>
      </c>
      <c r="T4" s="6" t="s">
        <v>23</v>
      </c>
      <c r="U4" s="6" t="s">
        <v>46</v>
      </c>
      <c r="V4" s="6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26</v>
      </c>
      <c r="AD4" s="6" t="s">
        <v>27</v>
      </c>
      <c r="AE4" s="6" t="s">
        <v>28</v>
      </c>
      <c r="AF4" s="6" t="s">
        <v>29</v>
      </c>
      <c r="AG4" s="6" t="s">
        <v>30</v>
      </c>
    </row>
    <row r="5" customFormat="false" ht="15" hidden="false" customHeight="false" outlineLevel="0" collapsed="false">
      <c r="A5" s="7" t="n">
        <v>46167</v>
      </c>
      <c r="B5" s="8"/>
      <c r="C5" s="8"/>
      <c r="D5" s="8"/>
      <c r="E5" s="8"/>
      <c r="F5" s="8"/>
      <c r="G5" s="8"/>
      <c r="H5" s="8"/>
      <c r="I5" s="8"/>
      <c r="J5" s="9" t="n">
        <f aca="false">SUM(C5:I5)</f>
        <v>0</v>
      </c>
      <c r="K5" s="10" t="str">
        <f aca="false">IF(B5="","",B5-J5)</f>
        <v/>
      </c>
      <c r="L5" s="11" t="str">
        <f aca="false">IFERROR(K5/B5,"")</f>
        <v/>
      </c>
      <c r="M5" s="8"/>
      <c r="N5" s="8"/>
      <c r="O5" s="8"/>
      <c r="P5" s="8"/>
      <c r="Q5" s="8"/>
      <c r="R5" s="8"/>
      <c r="S5" s="8"/>
      <c r="T5" s="9" t="n">
        <f aca="false">SUM(M5:S5)</f>
        <v>0</v>
      </c>
      <c r="U5" s="8"/>
      <c r="V5" s="8"/>
      <c r="W5" s="8"/>
      <c r="X5" s="8"/>
      <c r="Y5" s="8"/>
      <c r="Z5" s="8"/>
      <c r="AA5" s="8"/>
      <c r="AB5" s="9" t="n">
        <f aca="false">SUM(U5:AA5)</f>
        <v>0</v>
      </c>
      <c r="AC5" s="9" t="n">
        <f aca="false">Assumptions!$B$5+J5-T5</f>
        <v>0</v>
      </c>
      <c r="AD5" s="10" t="str">
        <f aca="false">IF(AB5=0,"",AC5-AB5)</f>
        <v/>
      </c>
      <c r="AE5" s="11" t="str">
        <f aca="false">IFERROR(AD5/AC5,"")</f>
        <v/>
      </c>
      <c r="AF5" s="12" t="n">
        <f aca="false">IFERROR((IF(K5="",0,K5)+IF(AD5="",0,AD5))*Assumptions!$B$3,"")</f>
        <v>0</v>
      </c>
      <c r="AG5" s="13"/>
    </row>
    <row r="6" customFormat="false" ht="15" hidden="false" customHeight="false" outlineLevel="0" collapsed="false">
      <c r="A6" s="7" t="n">
        <v>46168</v>
      </c>
      <c r="B6" s="8"/>
      <c r="C6" s="8"/>
      <c r="D6" s="8"/>
      <c r="E6" s="8"/>
      <c r="F6" s="8"/>
      <c r="G6" s="8"/>
      <c r="H6" s="8"/>
      <c r="I6" s="8"/>
      <c r="J6" s="9" t="n">
        <f aca="false">SUM(C6:I6)</f>
        <v>0</v>
      </c>
      <c r="K6" s="10" t="str">
        <f aca="false">IF(B6="","",B6-J6)</f>
        <v/>
      </c>
      <c r="L6" s="11" t="str">
        <f aca="false">IFERROR(K6/B6,"")</f>
        <v/>
      </c>
      <c r="M6" s="8"/>
      <c r="N6" s="8"/>
      <c r="O6" s="8"/>
      <c r="P6" s="8"/>
      <c r="Q6" s="8"/>
      <c r="R6" s="8"/>
      <c r="S6" s="8"/>
      <c r="T6" s="9" t="n">
        <f aca="false">SUM(M6:S6)</f>
        <v>0</v>
      </c>
      <c r="U6" s="8"/>
      <c r="V6" s="8"/>
      <c r="W6" s="8"/>
      <c r="X6" s="8"/>
      <c r="Y6" s="8"/>
      <c r="Z6" s="8"/>
      <c r="AA6" s="8"/>
      <c r="AB6" s="9" t="n">
        <f aca="false">SUM(U6:AA6)</f>
        <v>0</v>
      </c>
      <c r="AC6" s="9" t="n">
        <f aca="false">AB5+J6-T6</f>
        <v>0</v>
      </c>
      <c r="AD6" s="10" t="str">
        <f aca="false">IF(AB6=0,"",AC6-AB6)</f>
        <v/>
      </c>
      <c r="AE6" s="11" t="str">
        <f aca="false">IFERROR(AD6/AC6,"")</f>
        <v/>
      </c>
      <c r="AF6" s="12" t="n">
        <f aca="false">IFERROR((IF(K6="",0,K6)+IF(AD6="",0,AD6))*Assumptions!$B$3,"")</f>
        <v>0</v>
      </c>
      <c r="AG6" s="13"/>
    </row>
    <row r="7" customFormat="false" ht="15" hidden="false" customHeight="false" outlineLevel="0" collapsed="false">
      <c r="A7" s="7" t="n">
        <v>46169</v>
      </c>
      <c r="B7" s="8"/>
      <c r="C7" s="8"/>
      <c r="D7" s="8"/>
      <c r="E7" s="8"/>
      <c r="F7" s="8"/>
      <c r="G7" s="8"/>
      <c r="H7" s="8"/>
      <c r="I7" s="8"/>
      <c r="J7" s="9" t="n">
        <f aca="false">SUM(C7:I7)</f>
        <v>0</v>
      </c>
      <c r="K7" s="10" t="str">
        <f aca="false">IF(B7="","",B7-J7)</f>
        <v/>
      </c>
      <c r="L7" s="11" t="str">
        <f aca="false">IFERROR(K7/B7,"")</f>
        <v/>
      </c>
      <c r="M7" s="8"/>
      <c r="N7" s="8"/>
      <c r="O7" s="8"/>
      <c r="P7" s="8"/>
      <c r="Q7" s="8"/>
      <c r="R7" s="8"/>
      <c r="S7" s="8"/>
      <c r="T7" s="9" t="n">
        <f aca="false">SUM(M7:S7)</f>
        <v>0</v>
      </c>
      <c r="U7" s="8"/>
      <c r="V7" s="8"/>
      <c r="W7" s="8"/>
      <c r="X7" s="8"/>
      <c r="Y7" s="8"/>
      <c r="Z7" s="8"/>
      <c r="AA7" s="8"/>
      <c r="AB7" s="9" t="n">
        <f aca="false">SUM(U7:AA7)</f>
        <v>0</v>
      </c>
      <c r="AC7" s="9" t="n">
        <f aca="false">AB6+J7-T7</f>
        <v>0</v>
      </c>
      <c r="AD7" s="10" t="str">
        <f aca="false">IF(AB7=0,"",AC7-AB7)</f>
        <v/>
      </c>
      <c r="AE7" s="11" t="str">
        <f aca="false">IFERROR(AD7/AC7,"")</f>
        <v/>
      </c>
      <c r="AF7" s="12" t="n">
        <f aca="false">IFERROR((IF(K7="",0,K7)+IF(AD7="",0,AD7))*Assumptions!$B$3,"")</f>
        <v>0</v>
      </c>
      <c r="AG7" s="13"/>
    </row>
    <row r="8" customFormat="false" ht="15" hidden="false" customHeight="false" outlineLevel="0" collapsed="false">
      <c r="A8" s="7" t="n">
        <v>46170</v>
      </c>
      <c r="B8" s="8"/>
      <c r="C8" s="8"/>
      <c r="D8" s="8"/>
      <c r="E8" s="8"/>
      <c r="F8" s="8"/>
      <c r="G8" s="8"/>
      <c r="H8" s="8"/>
      <c r="I8" s="8"/>
      <c r="J8" s="9" t="n">
        <f aca="false">SUM(C8:I8)</f>
        <v>0</v>
      </c>
      <c r="K8" s="10" t="str">
        <f aca="false">IF(B8="","",B8-J8)</f>
        <v/>
      </c>
      <c r="L8" s="11" t="str">
        <f aca="false">IFERROR(K8/B8,"")</f>
        <v/>
      </c>
      <c r="M8" s="8"/>
      <c r="N8" s="8"/>
      <c r="O8" s="8"/>
      <c r="P8" s="8"/>
      <c r="Q8" s="8"/>
      <c r="R8" s="8"/>
      <c r="S8" s="8"/>
      <c r="T8" s="9" t="n">
        <f aca="false">SUM(M8:S8)</f>
        <v>0</v>
      </c>
      <c r="U8" s="8"/>
      <c r="V8" s="8"/>
      <c r="W8" s="8"/>
      <c r="X8" s="8"/>
      <c r="Y8" s="8"/>
      <c r="Z8" s="8"/>
      <c r="AA8" s="8"/>
      <c r="AB8" s="9" t="n">
        <f aca="false">SUM(U8:AA8)</f>
        <v>0</v>
      </c>
      <c r="AC8" s="9" t="n">
        <f aca="false">AB7+J8-T8</f>
        <v>0</v>
      </c>
      <c r="AD8" s="10" t="str">
        <f aca="false">IF(AB8=0,"",AC8-AB8)</f>
        <v/>
      </c>
      <c r="AE8" s="11" t="str">
        <f aca="false">IFERROR(AD8/AC8,"")</f>
        <v/>
      </c>
      <c r="AF8" s="12" t="n">
        <f aca="false">IFERROR((IF(K8="",0,K8)+IF(AD8="",0,AD8))*Assumptions!$B$3,"")</f>
        <v>0</v>
      </c>
      <c r="AG8" s="13"/>
    </row>
    <row r="9" customFormat="false" ht="15" hidden="false" customHeight="false" outlineLevel="0" collapsed="false">
      <c r="A9" s="7" t="n">
        <v>46171</v>
      </c>
      <c r="B9" s="8"/>
      <c r="C9" s="8"/>
      <c r="D9" s="8"/>
      <c r="E9" s="8"/>
      <c r="F9" s="8"/>
      <c r="G9" s="8"/>
      <c r="H9" s="8"/>
      <c r="I9" s="8"/>
      <c r="J9" s="9" t="n">
        <f aca="false">SUM(C9:I9)</f>
        <v>0</v>
      </c>
      <c r="K9" s="10" t="str">
        <f aca="false">IF(B9="","",B9-J9)</f>
        <v/>
      </c>
      <c r="L9" s="11" t="str">
        <f aca="false">IFERROR(K9/B9,"")</f>
        <v/>
      </c>
      <c r="M9" s="8"/>
      <c r="N9" s="8"/>
      <c r="O9" s="8"/>
      <c r="P9" s="8"/>
      <c r="Q9" s="8"/>
      <c r="R9" s="8"/>
      <c r="S9" s="8"/>
      <c r="T9" s="9" t="n">
        <f aca="false">SUM(M9:S9)</f>
        <v>0</v>
      </c>
      <c r="U9" s="8"/>
      <c r="V9" s="8"/>
      <c r="W9" s="8"/>
      <c r="X9" s="8"/>
      <c r="Y9" s="8"/>
      <c r="Z9" s="8"/>
      <c r="AA9" s="8"/>
      <c r="AB9" s="9" t="n">
        <f aca="false">SUM(U9:AA9)</f>
        <v>0</v>
      </c>
      <c r="AC9" s="9" t="n">
        <f aca="false">AB8+J9-T9</f>
        <v>0</v>
      </c>
      <c r="AD9" s="10" t="str">
        <f aca="false">IF(AB9=0,"",AC9-AB9)</f>
        <v/>
      </c>
      <c r="AE9" s="11" t="str">
        <f aca="false">IFERROR(AD9/AC9,"")</f>
        <v/>
      </c>
      <c r="AF9" s="12" t="n">
        <f aca="false">IFERROR((IF(K9="",0,K9)+IF(AD9="",0,AD9))*Assumptions!$B$3,"")</f>
        <v>0</v>
      </c>
      <c r="AG9" s="13"/>
    </row>
    <row r="10" customFormat="false" ht="15" hidden="false" customHeight="false" outlineLevel="0" collapsed="false">
      <c r="A10" s="7" t="n">
        <v>46172</v>
      </c>
      <c r="B10" s="8"/>
      <c r="C10" s="8"/>
      <c r="D10" s="8"/>
      <c r="E10" s="8"/>
      <c r="F10" s="8"/>
      <c r="G10" s="8"/>
      <c r="H10" s="8"/>
      <c r="I10" s="8"/>
      <c r="J10" s="9" t="n">
        <f aca="false">SUM(C10:I10)</f>
        <v>0</v>
      </c>
      <c r="K10" s="10" t="str">
        <f aca="false">IF(B10="","",B10-J10)</f>
        <v/>
      </c>
      <c r="L10" s="11" t="str">
        <f aca="false">IFERROR(K10/B10,"")</f>
        <v/>
      </c>
      <c r="M10" s="8"/>
      <c r="N10" s="8"/>
      <c r="O10" s="8"/>
      <c r="P10" s="8"/>
      <c r="Q10" s="8"/>
      <c r="R10" s="8"/>
      <c r="S10" s="8"/>
      <c r="T10" s="9" t="n">
        <f aca="false">SUM(M10:S10)</f>
        <v>0</v>
      </c>
      <c r="U10" s="8"/>
      <c r="V10" s="8"/>
      <c r="W10" s="8"/>
      <c r="X10" s="8"/>
      <c r="Y10" s="8"/>
      <c r="Z10" s="8"/>
      <c r="AA10" s="8"/>
      <c r="AB10" s="9" t="n">
        <f aca="false">SUM(U10:AA10)</f>
        <v>0</v>
      </c>
      <c r="AC10" s="9" t="n">
        <f aca="false">AB9+J10-T10</f>
        <v>0</v>
      </c>
      <c r="AD10" s="10" t="str">
        <f aca="false">IF(AB10=0,"",AC10-AB10)</f>
        <v/>
      </c>
      <c r="AE10" s="11" t="str">
        <f aca="false">IFERROR(AD10/AC10,"")</f>
        <v/>
      </c>
      <c r="AF10" s="12" t="n">
        <f aca="false">IFERROR((IF(K10="",0,K10)+IF(AD10="",0,AD10))*Assumptions!$B$3,"")</f>
        <v>0</v>
      </c>
      <c r="AG10" s="13"/>
    </row>
    <row r="11" customFormat="false" ht="15" hidden="false" customHeight="false" outlineLevel="0" collapsed="false">
      <c r="A11" s="7" t="n">
        <v>46173</v>
      </c>
      <c r="B11" s="8"/>
      <c r="C11" s="8"/>
      <c r="D11" s="8"/>
      <c r="E11" s="8"/>
      <c r="F11" s="8"/>
      <c r="G11" s="8"/>
      <c r="H11" s="8"/>
      <c r="I11" s="8"/>
      <c r="J11" s="9" t="n">
        <f aca="false">SUM(C11:I11)</f>
        <v>0</v>
      </c>
      <c r="K11" s="10" t="str">
        <f aca="false">IF(B11="","",B11-J11)</f>
        <v/>
      </c>
      <c r="L11" s="11" t="str">
        <f aca="false">IFERROR(K11/B11,"")</f>
        <v/>
      </c>
      <c r="M11" s="8"/>
      <c r="N11" s="8"/>
      <c r="O11" s="8"/>
      <c r="P11" s="8"/>
      <c r="Q11" s="8"/>
      <c r="R11" s="8"/>
      <c r="S11" s="8"/>
      <c r="T11" s="9" t="n">
        <f aca="false">SUM(M11:S11)</f>
        <v>0</v>
      </c>
      <c r="U11" s="8"/>
      <c r="V11" s="8"/>
      <c r="W11" s="8"/>
      <c r="X11" s="8"/>
      <c r="Y11" s="8"/>
      <c r="Z11" s="8"/>
      <c r="AA11" s="8"/>
      <c r="AB11" s="9" t="n">
        <f aca="false">SUM(U11:AA11)</f>
        <v>0</v>
      </c>
      <c r="AC11" s="9" t="n">
        <f aca="false">AB10+J11-T11</f>
        <v>0</v>
      </c>
      <c r="AD11" s="10" t="str">
        <f aca="false">IF(AB11=0,"",AC11-AB11)</f>
        <v/>
      </c>
      <c r="AE11" s="11" t="str">
        <f aca="false">IFERROR(AD11/AC11,"")</f>
        <v/>
      </c>
      <c r="AF11" s="12" t="n">
        <f aca="false">IFERROR((IF(K11="",0,K11)+IF(AD11="",0,AD11))*Assumptions!$B$3,"")</f>
        <v>0</v>
      </c>
      <c r="AG11" s="13"/>
    </row>
    <row r="12" customFormat="false" ht="15" hidden="false" customHeight="false" outlineLevel="0" collapsed="false">
      <c r="A12" s="7" t="n">
        <v>46174</v>
      </c>
      <c r="B12" s="8"/>
      <c r="C12" s="8"/>
      <c r="D12" s="8"/>
      <c r="E12" s="8"/>
      <c r="F12" s="8"/>
      <c r="G12" s="8"/>
      <c r="H12" s="8"/>
      <c r="I12" s="8"/>
      <c r="J12" s="9" t="n">
        <f aca="false">SUM(C12:I12)</f>
        <v>0</v>
      </c>
      <c r="K12" s="10" t="str">
        <f aca="false">IF(B12="","",B12-J12)</f>
        <v/>
      </c>
      <c r="L12" s="11" t="str">
        <f aca="false">IFERROR(K12/B12,"")</f>
        <v/>
      </c>
      <c r="M12" s="8"/>
      <c r="N12" s="8"/>
      <c r="O12" s="8"/>
      <c r="P12" s="8"/>
      <c r="Q12" s="8"/>
      <c r="R12" s="8"/>
      <c r="S12" s="8"/>
      <c r="T12" s="9" t="n">
        <f aca="false">SUM(M12:S12)</f>
        <v>0</v>
      </c>
      <c r="U12" s="8"/>
      <c r="V12" s="8"/>
      <c r="W12" s="8"/>
      <c r="X12" s="8"/>
      <c r="Y12" s="8"/>
      <c r="Z12" s="8"/>
      <c r="AA12" s="8"/>
      <c r="AB12" s="9" t="n">
        <f aca="false">SUM(U12:AA12)</f>
        <v>0</v>
      </c>
      <c r="AC12" s="9" t="n">
        <f aca="false">AB11+J12-T12</f>
        <v>0</v>
      </c>
      <c r="AD12" s="10" t="str">
        <f aca="false">IF(AB12=0,"",AC12-AB12)</f>
        <v/>
      </c>
      <c r="AE12" s="11" t="str">
        <f aca="false">IFERROR(AD12/AC12,"")</f>
        <v/>
      </c>
      <c r="AF12" s="12" t="n">
        <f aca="false">IFERROR((IF(K12="",0,K12)+IF(AD12="",0,AD12))*Assumptions!$B$3,"")</f>
        <v>0</v>
      </c>
      <c r="AG12" s="13"/>
    </row>
    <row r="13" customFormat="false" ht="15" hidden="false" customHeight="false" outlineLevel="0" collapsed="false">
      <c r="A13" s="7" t="n">
        <v>46175</v>
      </c>
      <c r="B13" s="8"/>
      <c r="C13" s="8"/>
      <c r="D13" s="8"/>
      <c r="E13" s="8"/>
      <c r="F13" s="8"/>
      <c r="G13" s="8"/>
      <c r="H13" s="8"/>
      <c r="I13" s="8"/>
      <c r="J13" s="9" t="n">
        <f aca="false">SUM(C13:I13)</f>
        <v>0</v>
      </c>
      <c r="K13" s="10" t="str">
        <f aca="false">IF(B13="","",B13-J13)</f>
        <v/>
      </c>
      <c r="L13" s="11" t="str">
        <f aca="false">IFERROR(K13/B13,"")</f>
        <v/>
      </c>
      <c r="M13" s="8"/>
      <c r="N13" s="8"/>
      <c r="O13" s="8"/>
      <c r="P13" s="8"/>
      <c r="Q13" s="8"/>
      <c r="R13" s="8"/>
      <c r="S13" s="8"/>
      <c r="T13" s="9" t="n">
        <f aca="false">SUM(M13:S13)</f>
        <v>0</v>
      </c>
      <c r="U13" s="8"/>
      <c r="V13" s="8"/>
      <c r="W13" s="8"/>
      <c r="X13" s="8"/>
      <c r="Y13" s="8"/>
      <c r="Z13" s="8"/>
      <c r="AA13" s="8"/>
      <c r="AB13" s="9" t="n">
        <f aca="false">SUM(U13:AA13)</f>
        <v>0</v>
      </c>
      <c r="AC13" s="9" t="n">
        <f aca="false">AB12+J13-T13</f>
        <v>0</v>
      </c>
      <c r="AD13" s="10" t="str">
        <f aca="false">IF(AB13=0,"",AC13-AB13)</f>
        <v/>
      </c>
      <c r="AE13" s="11" t="str">
        <f aca="false">IFERROR(AD13/AC13,"")</f>
        <v/>
      </c>
      <c r="AF13" s="12" t="n">
        <f aca="false">IFERROR((IF(K13="",0,K13)+IF(AD13="",0,AD13))*Assumptions!$B$3,"")</f>
        <v>0</v>
      </c>
      <c r="AG13" s="13"/>
    </row>
    <row r="14" customFormat="false" ht="15" hidden="false" customHeight="false" outlineLevel="0" collapsed="false">
      <c r="A14" s="7" t="n">
        <v>46176</v>
      </c>
      <c r="B14" s="8"/>
      <c r="C14" s="8"/>
      <c r="D14" s="8"/>
      <c r="E14" s="8"/>
      <c r="F14" s="8"/>
      <c r="G14" s="8"/>
      <c r="H14" s="8"/>
      <c r="I14" s="8"/>
      <c r="J14" s="9" t="n">
        <f aca="false">SUM(C14:I14)</f>
        <v>0</v>
      </c>
      <c r="K14" s="10" t="str">
        <f aca="false">IF(B14="","",B14-J14)</f>
        <v/>
      </c>
      <c r="L14" s="11" t="str">
        <f aca="false">IFERROR(K14/B14,"")</f>
        <v/>
      </c>
      <c r="M14" s="8"/>
      <c r="N14" s="8"/>
      <c r="O14" s="8"/>
      <c r="P14" s="8"/>
      <c r="Q14" s="8"/>
      <c r="R14" s="8"/>
      <c r="S14" s="8"/>
      <c r="T14" s="9" t="n">
        <f aca="false">SUM(M14:S14)</f>
        <v>0</v>
      </c>
      <c r="U14" s="8"/>
      <c r="V14" s="8"/>
      <c r="W14" s="8"/>
      <c r="X14" s="8"/>
      <c r="Y14" s="8"/>
      <c r="Z14" s="8"/>
      <c r="AA14" s="8"/>
      <c r="AB14" s="9" t="n">
        <f aca="false">SUM(U14:AA14)</f>
        <v>0</v>
      </c>
      <c r="AC14" s="9" t="n">
        <f aca="false">AB13+J14-T14</f>
        <v>0</v>
      </c>
      <c r="AD14" s="10" t="str">
        <f aca="false">IF(AB14=0,"",AC14-AB14)</f>
        <v/>
      </c>
      <c r="AE14" s="11" t="str">
        <f aca="false">IFERROR(AD14/AC14,"")</f>
        <v/>
      </c>
      <c r="AF14" s="12" t="n">
        <f aca="false">IFERROR((IF(K14="",0,K14)+IF(AD14="",0,AD14))*Assumptions!$B$3,"")</f>
        <v>0</v>
      </c>
      <c r="AG14" s="13"/>
    </row>
    <row r="15" customFormat="false" ht="15" hidden="false" customHeight="false" outlineLevel="0" collapsed="false">
      <c r="A15" s="7" t="n">
        <v>46177</v>
      </c>
      <c r="B15" s="8"/>
      <c r="C15" s="8"/>
      <c r="D15" s="8"/>
      <c r="E15" s="8"/>
      <c r="F15" s="8"/>
      <c r="G15" s="8"/>
      <c r="H15" s="8"/>
      <c r="I15" s="8"/>
      <c r="J15" s="9" t="n">
        <f aca="false">SUM(C15:I15)</f>
        <v>0</v>
      </c>
      <c r="K15" s="10" t="str">
        <f aca="false">IF(B15="","",B15-J15)</f>
        <v/>
      </c>
      <c r="L15" s="11" t="str">
        <f aca="false">IFERROR(K15/B15,"")</f>
        <v/>
      </c>
      <c r="M15" s="8"/>
      <c r="N15" s="8"/>
      <c r="O15" s="8"/>
      <c r="P15" s="8"/>
      <c r="Q15" s="8"/>
      <c r="R15" s="8"/>
      <c r="S15" s="8"/>
      <c r="T15" s="9" t="n">
        <f aca="false">SUM(M15:S15)</f>
        <v>0</v>
      </c>
      <c r="U15" s="8"/>
      <c r="V15" s="8"/>
      <c r="W15" s="8"/>
      <c r="X15" s="8"/>
      <c r="Y15" s="8"/>
      <c r="Z15" s="8"/>
      <c r="AA15" s="8"/>
      <c r="AB15" s="9" t="n">
        <f aca="false">SUM(U15:AA15)</f>
        <v>0</v>
      </c>
      <c r="AC15" s="9" t="n">
        <f aca="false">AB14+J15-T15</f>
        <v>0</v>
      </c>
      <c r="AD15" s="10" t="str">
        <f aca="false">IF(AB15=0,"",AC15-AB15)</f>
        <v/>
      </c>
      <c r="AE15" s="11" t="str">
        <f aca="false">IFERROR(AD15/AC15,"")</f>
        <v/>
      </c>
      <c r="AF15" s="12" t="n">
        <f aca="false">IFERROR((IF(K15="",0,K15)+IF(AD15="",0,AD15))*Assumptions!$B$3,"")</f>
        <v>0</v>
      </c>
      <c r="AG15" s="13"/>
    </row>
    <row r="16" customFormat="false" ht="15" hidden="false" customHeight="false" outlineLevel="0" collapsed="false">
      <c r="A16" s="7" t="n">
        <v>46178</v>
      </c>
      <c r="B16" s="8"/>
      <c r="C16" s="8"/>
      <c r="D16" s="8"/>
      <c r="E16" s="8"/>
      <c r="F16" s="8"/>
      <c r="G16" s="8"/>
      <c r="H16" s="8"/>
      <c r="I16" s="8"/>
      <c r="J16" s="9" t="n">
        <f aca="false">SUM(C16:I16)</f>
        <v>0</v>
      </c>
      <c r="K16" s="10" t="str">
        <f aca="false">IF(B16="","",B16-J16)</f>
        <v/>
      </c>
      <c r="L16" s="11" t="str">
        <f aca="false">IFERROR(K16/B16,"")</f>
        <v/>
      </c>
      <c r="M16" s="8"/>
      <c r="N16" s="8"/>
      <c r="O16" s="8"/>
      <c r="P16" s="8"/>
      <c r="Q16" s="8"/>
      <c r="R16" s="8"/>
      <c r="S16" s="8"/>
      <c r="T16" s="9" t="n">
        <f aca="false">SUM(M16:S16)</f>
        <v>0</v>
      </c>
      <c r="U16" s="8"/>
      <c r="V16" s="8"/>
      <c r="W16" s="8"/>
      <c r="X16" s="8"/>
      <c r="Y16" s="8"/>
      <c r="Z16" s="8"/>
      <c r="AA16" s="8"/>
      <c r="AB16" s="9" t="n">
        <f aca="false">SUM(U16:AA16)</f>
        <v>0</v>
      </c>
      <c r="AC16" s="9" t="n">
        <f aca="false">AB15+J16-T16</f>
        <v>0</v>
      </c>
      <c r="AD16" s="10" t="str">
        <f aca="false">IF(AB16=0,"",AC16-AB16)</f>
        <v/>
      </c>
      <c r="AE16" s="11" t="str">
        <f aca="false">IFERROR(AD16/AC16,"")</f>
        <v/>
      </c>
      <c r="AF16" s="12" t="n">
        <f aca="false">IFERROR((IF(K16="",0,K16)+IF(AD16="",0,AD16))*Assumptions!$B$3,"")</f>
        <v>0</v>
      </c>
      <c r="AG16" s="13"/>
    </row>
    <row r="17" customFormat="false" ht="15" hidden="false" customHeight="false" outlineLevel="0" collapsed="false">
      <c r="A17" s="7" t="n">
        <v>46179</v>
      </c>
      <c r="B17" s="8"/>
      <c r="C17" s="8"/>
      <c r="D17" s="8"/>
      <c r="E17" s="8"/>
      <c r="F17" s="8"/>
      <c r="G17" s="8"/>
      <c r="H17" s="8"/>
      <c r="I17" s="8"/>
      <c r="J17" s="9" t="n">
        <f aca="false">SUM(C17:I17)</f>
        <v>0</v>
      </c>
      <c r="K17" s="10" t="str">
        <f aca="false">IF(B17="","",B17-J17)</f>
        <v/>
      </c>
      <c r="L17" s="11" t="str">
        <f aca="false">IFERROR(K17/B17,"")</f>
        <v/>
      </c>
      <c r="M17" s="8"/>
      <c r="N17" s="8"/>
      <c r="O17" s="8"/>
      <c r="P17" s="8"/>
      <c r="Q17" s="8"/>
      <c r="R17" s="8"/>
      <c r="S17" s="8"/>
      <c r="T17" s="9" t="n">
        <f aca="false">SUM(M17:S17)</f>
        <v>0</v>
      </c>
      <c r="U17" s="8"/>
      <c r="V17" s="8"/>
      <c r="W17" s="8"/>
      <c r="X17" s="8"/>
      <c r="Y17" s="8"/>
      <c r="Z17" s="8"/>
      <c r="AA17" s="8"/>
      <c r="AB17" s="9" t="n">
        <f aca="false">SUM(U17:AA17)</f>
        <v>0</v>
      </c>
      <c r="AC17" s="9" t="n">
        <f aca="false">AB16+J17-T17</f>
        <v>0</v>
      </c>
      <c r="AD17" s="10" t="str">
        <f aca="false">IF(AB17=0,"",AC17-AB17)</f>
        <v/>
      </c>
      <c r="AE17" s="11" t="str">
        <f aca="false">IFERROR(AD17/AC17,"")</f>
        <v/>
      </c>
      <c r="AF17" s="12" t="n">
        <f aca="false">IFERROR((IF(K17="",0,K17)+IF(AD17="",0,AD17))*Assumptions!$B$3,"")</f>
        <v>0</v>
      </c>
      <c r="AG17" s="13"/>
    </row>
    <row r="18" customFormat="false" ht="15" hidden="false" customHeight="false" outlineLevel="0" collapsed="false">
      <c r="A18" s="7" t="n">
        <v>46180</v>
      </c>
      <c r="B18" s="8"/>
      <c r="C18" s="8"/>
      <c r="D18" s="8"/>
      <c r="E18" s="8"/>
      <c r="F18" s="8"/>
      <c r="G18" s="8"/>
      <c r="H18" s="8"/>
      <c r="I18" s="8"/>
      <c r="J18" s="9" t="n">
        <f aca="false">SUM(C18:I18)</f>
        <v>0</v>
      </c>
      <c r="K18" s="10" t="str">
        <f aca="false">IF(B18="","",B18-J18)</f>
        <v/>
      </c>
      <c r="L18" s="11" t="str">
        <f aca="false">IFERROR(K18/B18,"")</f>
        <v/>
      </c>
      <c r="M18" s="8"/>
      <c r="N18" s="8"/>
      <c r="O18" s="8"/>
      <c r="P18" s="8"/>
      <c r="Q18" s="8"/>
      <c r="R18" s="8"/>
      <c r="S18" s="8"/>
      <c r="T18" s="9" t="n">
        <f aca="false">SUM(M18:S18)</f>
        <v>0</v>
      </c>
      <c r="U18" s="8"/>
      <c r="V18" s="8"/>
      <c r="W18" s="8"/>
      <c r="X18" s="8"/>
      <c r="Y18" s="8"/>
      <c r="Z18" s="8"/>
      <c r="AA18" s="8"/>
      <c r="AB18" s="9" t="n">
        <f aca="false">SUM(U18:AA18)</f>
        <v>0</v>
      </c>
      <c r="AC18" s="9" t="n">
        <f aca="false">AB17+J18-T18</f>
        <v>0</v>
      </c>
      <c r="AD18" s="10" t="str">
        <f aca="false">IF(AB18=0,"",AC18-AB18)</f>
        <v/>
      </c>
      <c r="AE18" s="11" t="str">
        <f aca="false">IFERROR(AD18/AC18,"")</f>
        <v/>
      </c>
      <c r="AF18" s="12" t="n">
        <f aca="false">IFERROR((IF(K18="",0,K18)+IF(AD18="",0,AD18))*Assumptions!$B$3,"")</f>
        <v>0</v>
      </c>
      <c r="AG18" s="13"/>
    </row>
    <row r="19" customFormat="false" ht="15" hidden="false" customHeight="false" outlineLevel="0" collapsed="false">
      <c r="A19" s="7" t="n">
        <v>46181</v>
      </c>
      <c r="B19" s="8"/>
      <c r="C19" s="8"/>
      <c r="D19" s="8"/>
      <c r="E19" s="8"/>
      <c r="F19" s="8"/>
      <c r="G19" s="8"/>
      <c r="H19" s="8"/>
      <c r="I19" s="8"/>
      <c r="J19" s="9" t="n">
        <f aca="false">SUM(C19:I19)</f>
        <v>0</v>
      </c>
      <c r="K19" s="10" t="str">
        <f aca="false">IF(B19="","",B19-J19)</f>
        <v/>
      </c>
      <c r="L19" s="11" t="str">
        <f aca="false">IFERROR(K19/B19,"")</f>
        <v/>
      </c>
      <c r="M19" s="8"/>
      <c r="N19" s="8"/>
      <c r="O19" s="8"/>
      <c r="P19" s="8"/>
      <c r="Q19" s="8"/>
      <c r="R19" s="8"/>
      <c r="S19" s="8"/>
      <c r="T19" s="9" t="n">
        <f aca="false">SUM(M19:S19)</f>
        <v>0</v>
      </c>
      <c r="U19" s="8"/>
      <c r="V19" s="8"/>
      <c r="W19" s="8"/>
      <c r="X19" s="8"/>
      <c r="Y19" s="8"/>
      <c r="Z19" s="8"/>
      <c r="AA19" s="8"/>
      <c r="AB19" s="9" t="n">
        <f aca="false">SUM(U19:AA19)</f>
        <v>0</v>
      </c>
      <c r="AC19" s="9" t="n">
        <f aca="false">AB18+J19-T19</f>
        <v>0</v>
      </c>
      <c r="AD19" s="10" t="str">
        <f aca="false">IF(AB19=0,"",AC19-AB19)</f>
        <v/>
      </c>
      <c r="AE19" s="11" t="str">
        <f aca="false">IFERROR(AD19/AC19,"")</f>
        <v/>
      </c>
      <c r="AF19" s="12" t="n">
        <f aca="false">IFERROR((IF(K19="",0,K19)+IF(AD19="",0,AD19))*Assumptions!$B$3,"")</f>
        <v>0</v>
      </c>
      <c r="AG19" s="13"/>
    </row>
    <row r="20" customFormat="false" ht="15" hidden="false" customHeight="false" outlineLevel="0" collapsed="false">
      <c r="A20" s="7" t="n">
        <v>46182</v>
      </c>
      <c r="B20" s="8"/>
      <c r="C20" s="8"/>
      <c r="D20" s="8"/>
      <c r="E20" s="8"/>
      <c r="F20" s="8"/>
      <c r="G20" s="8"/>
      <c r="H20" s="8"/>
      <c r="I20" s="8"/>
      <c r="J20" s="9" t="n">
        <f aca="false">SUM(C20:I20)</f>
        <v>0</v>
      </c>
      <c r="K20" s="10" t="str">
        <f aca="false">IF(B20="","",B20-J20)</f>
        <v/>
      </c>
      <c r="L20" s="11" t="str">
        <f aca="false">IFERROR(K20/B20,"")</f>
        <v/>
      </c>
      <c r="M20" s="8"/>
      <c r="N20" s="8"/>
      <c r="O20" s="8"/>
      <c r="P20" s="8"/>
      <c r="Q20" s="8"/>
      <c r="R20" s="8"/>
      <c r="S20" s="8"/>
      <c r="T20" s="9" t="n">
        <f aca="false">SUM(M20:S20)</f>
        <v>0</v>
      </c>
      <c r="U20" s="8"/>
      <c r="V20" s="8"/>
      <c r="W20" s="8"/>
      <c r="X20" s="8"/>
      <c r="Y20" s="8"/>
      <c r="Z20" s="8"/>
      <c r="AA20" s="8"/>
      <c r="AB20" s="9" t="n">
        <f aca="false">SUM(U20:AA20)</f>
        <v>0</v>
      </c>
      <c r="AC20" s="9" t="n">
        <f aca="false">AB19+J20-T20</f>
        <v>0</v>
      </c>
      <c r="AD20" s="10" t="str">
        <f aca="false">IF(AB20=0,"",AC20-AB20)</f>
        <v/>
      </c>
      <c r="AE20" s="11" t="str">
        <f aca="false">IFERROR(AD20/AC20,"")</f>
        <v/>
      </c>
      <c r="AF20" s="12" t="n">
        <f aca="false">IFERROR((IF(K20="",0,K20)+IF(AD20="",0,AD20))*Assumptions!$B$3,"")</f>
        <v>0</v>
      </c>
      <c r="AG20" s="13"/>
    </row>
    <row r="21" customFormat="false" ht="15" hidden="false" customHeight="false" outlineLevel="0" collapsed="false">
      <c r="A21" s="7" t="n">
        <v>46183</v>
      </c>
      <c r="B21" s="8"/>
      <c r="C21" s="8"/>
      <c r="D21" s="8"/>
      <c r="E21" s="8"/>
      <c r="F21" s="8"/>
      <c r="G21" s="8"/>
      <c r="H21" s="8"/>
      <c r="I21" s="8"/>
      <c r="J21" s="9" t="n">
        <f aca="false">SUM(C21:I21)</f>
        <v>0</v>
      </c>
      <c r="K21" s="10" t="str">
        <f aca="false">IF(B21="","",B21-J21)</f>
        <v/>
      </c>
      <c r="L21" s="11" t="str">
        <f aca="false">IFERROR(K21/B21,"")</f>
        <v/>
      </c>
      <c r="M21" s="8"/>
      <c r="N21" s="8"/>
      <c r="O21" s="8"/>
      <c r="P21" s="8"/>
      <c r="Q21" s="8"/>
      <c r="R21" s="8"/>
      <c r="S21" s="8"/>
      <c r="T21" s="9" t="n">
        <f aca="false">SUM(M21:S21)</f>
        <v>0</v>
      </c>
      <c r="U21" s="8"/>
      <c r="V21" s="8"/>
      <c r="W21" s="8"/>
      <c r="X21" s="8"/>
      <c r="Y21" s="8"/>
      <c r="Z21" s="8"/>
      <c r="AA21" s="8"/>
      <c r="AB21" s="9" t="n">
        <f aca="false">SUM(U21:AA21)</f>
        <v>0</v>
      </c>
      <c r="AC21" s="9" t="n">
        <f aca="false">AB20+J21-T21</f>
        <v>0</v>
      </c>
      <c r="AD21" s="10" t="str">
        <f aca="false">IF(AB21=0,"",AC21-AB21)</f>
        <v/>
      </c>
      <c r="AE21" s="11" t="str">
        <f aca="false">IFERROR(AD21/AC21,"")</f>
        <v/>
      </c>
      <c r="AF21" s="12" t="n">
        <f aca="false">IFERROR((IF(K21="",0,K21)+IF(AD21="",0,AD21))*Assumptions!$B$3,"")</f>
        <v>0</v>
      </c>
      <c r="AG21" s="13"/>
    </row>
    <row r="22" customFormat="false" ht="15" hidden="false" customHeight="false" outlineLevel="0" collapsed="false">
      <c r="A22" s="7" t="n">
        <v>46184</v>
      </c>
      <c r="B22" s="8"/>
      <c r="C22" s="8"/>
      <c r="D22" s="8"/>
      <c r="E22" s="8"/>
      <c r="F22" s="8"/>
      <c r="G22" s="8"/>
      <c r="H22" s="8"/>
      <c r="I22" s="8"/>
      <c r="J22" s="9" t="n">
        <f aca="false">SUM(C22:I22)</f>
        <v>0</v>
      </c>
      <c r="K22" s="10" t="str">
        <f aca="false">IF(B22="","",B22-J22)</f>
        <v/>
      </c>
      <c r="L22" s="11" t="str">
        <f aca="false">IFERROR(K22/B22,"")</f>
        <v/>
      </c>
      <c r="M22" s="8"/>
      <c r="N22" s="8"/>
      <c r="O22" s="8"/>
      <c r="P22" s="8"/>
      <c r="Q22" s="8"/>
      <c r="R22" s="8"/>
      <c r="S22" s="8"/>
      <c r="T22" s="9" t="n">
        <f aca="false">SUM(M22:S22)</f>
        <v>0</v>
      </c>
      <c r="U22" s="8"/>
      <c r="V22" s="8"/>
      <c r="W22" s="8"/>
      <c r="X22" s="8"/>
      <c r="Y22" s="8"/>
      <c r="Z22" s="8"/>
      <c r="AA22" s="8"/>
      <c r="AB22" s="9" t="n">
        <f aca="false">SUM(U22:AA22)</f>
        <v>0</v>
      </c>
      <c r="AC22" s="9" t="n">
        <f aca="false">AB21+J22-T22</f>
        <v>0</v>
      </c>
      <c r="AD22" s="10" t="str">
        <f aca="false">IF(AB22=0,"",AC22-AB22)</f>
        <v/>
      </c>
      <c r="AE22" s="11" t="str">
        <f aca="false">IFERROR(AD22/AC22,"")</f>
        <v/>
      </c>
      <c r="AF22" s="12" t="n">
        <f aca="false">IFERROR((IF(K22="",0,K22)+IF(AD22="",0,AD22))*Assumptions!$B$3,"")</f>
        <v>0</v>
      </c>
      <c r="AG22" s="13"/>
    </row>
    <row r="23" customFormat="false" ht="15" hidden="false" customHeight="false" outlineLevel="0" collapsed="false">
      <c r="A23" s="7" t="n">
        <v>46185</v>
      </c>
      <c r="B23" s="8"/>
      <c r="C23" s="8"/>
      <c r="D23" s="8"/>
      <c r="E23" s="8"/>
      <c r="F23" s="8"/>
      <c r="G23" s="8"/>
      <c r="H23" s="8"/>
      <c r="I23" s="8"/>
      <c r="J23" s="9" t="n">
        <f aca="false">SUM(C23:I23)</f>
        <v>0</v>
      </c>
      <c r="K23" s="10" t="str">
        <f aca="false">IF(B23="","",B23-J23)</f>
        <v/>
      </c>
      <c r="L23" s="11" t="str">
        <f aca="false">IFERROR(K23/B23,"")</f>
        <v/>
      </c>
      <c r="M23" s="8"/>
      <c r="N23" s="8"/>
      <c r="O23" s="8"/>
      <c r="P23" s="8"/>
      <c r="Q23" s="8"/>
      <c r="R23" s="8"/>
      <c r="S23" s="8"/>
      <c r="T23" s="9" t="n">
        <f aca="false">SUM(M23:S23)</f>
        <v>0</v>
      </c>
      <c r="U23" s="8"/>
      <c r="V23" s="8"/>
      <c r="W23" s="8"/>
      <c r="X23" s="8"/>
      <c r="Y23" s="8"/>
      <c r="Z23" s="8"/>
      <c r="AA23" s="8"/>
      <c r="AB23" s="9" t="n">
        <f aca="false">SUM(U23:AA23)</f>
        <v>0</v>
      </c>
      <c r="AC23" s="9" t="n">
        <f aca="false">AB22+J23-T23</f>
        <v>0</v>
      </c>
      <c r="AD23" s="10" t="str">
        <f aca="false">IF(AB23=0,"",AC23-AB23)</f>
        <v/>
      </c>
      <c r="AE23" s="11" t="str">
        <f aca="false">IFERROR(AD23/AC23,"")</f>
        <v/>
      </c>
      <c r="AF23" s="12" t="n">
        <f aca="false">IFERROR((IF(K23="",0,K23)+IF(AD23="",0,AD23))*Assumptions!$B$3,"")</f>
        <v>0</v>
      </c>
      <c r="AG23" s="13"/>
    </row>
    <row r="24" customFormat="false" ht="15" hidden="false" customHeight="false" outlineLevel="0" collapsed="false">
      <c r="A24" s="7" t="n">
        <v>46186</v>
      </c>
      <c r="B24" s="8"/>
      <c r="C24" s="8"/>
      <c r="D24" s="8"/>
      <c r="E24" s="8"/>
      <c r="F24" s="8"/>
      <c r="G24" s="8"/>
      <c r="H24" s="8"/>
      <c r="I24" s="8"/>
      <c r="J24" s="9" t="n">
        <f aca="false">SUM(C24:I24)</f>
        <v>0</v>
      </c>
      <c r="K24" s="10" t="str">
        <f aca="false">IF(B24="","",B24-J24)</f>
        <v/>
      </c>
      <c r="L24" s="11" t="str">
        <f aca="false">IFERROR(K24/B24,"")</f>
        <v/>
      </c>
      <c r="M24" s="8"/>
      <c r="N24" s="8"/>
      <c r="O24" s="8"/>
      <c r="P24" s="8"/>
      <c r="Q24" s="8"/>
      <c r="R24" s="8"/>
      <c r="S24" s="8"/>
      <c r="T24" s="9" t="n">
        <f aca="false">SUM(M24:S24)</f>
        <v>0</v>
      </c>
      <c r="U24" s="8"/>
      <c r="V24" s="8"/>
      <c r="W24" s="8"/>
      <c r="X24" s="8"/>
      <c r="Y24" s="8"/>
      <c r="Z24" s="8"/>
      <c r="AA24" s="8"/>
      <c r="AB24" s="9" t="n">
        <f aca="false">SUM(U24:AA24)</f>
        <v>0</v>
      </c>
      <c r="AC24" s="9" t="n">
        <f aca="false">AB23+J24-T24</f>
        <v>0</v>
      </c>
      <c r="AD24" s="10" t="str">
        <f aca="false">IF(AB24=0,"",AC24-AB24)</f>
        <v/>
      </c>
      <c r="AE24" s="11" t="str">
        <f aca="false">IFERROR(AD24/AC24,"")</f>
        <v/>
      </c>
      <c r="AF24" s="12" t="n">
        <f aca="false">IFERROR((IF(K24="",0,K24)+IF(AD24="",0,AD24))*Assumptions!$B$3,"")</f>
        <v>0</v>
      </c>
      <c r="AG24" s="13"/>
    </row>
    <row r="25" customFormat="false" ht="15" hidden="false" customHeight="false" outlineLevel="0" collapsed="false">
      <c r="A25" s="7" t="n">
        <v>46187</v>
      </c>
      <c r="B25" s="8"/>
      <c r="C25" s="8"/>
      <c r="D25" s="8"/>
      <c r="E25" s="8"/>
      <c r="F25" s="8"/>
      <c r="G25" s="8"/>
      <c r="H25" s="8"/>
      <c r="I25" s="8"/>
      <c r="J25" s="9" t="n">
        <f aca="false">SUM(C25:I25)</f>
        <v>0</v>
      </c>
      <c r="K25" s="10" t="str">
        <f aca="false">IF(B25="","",B25-J25)</f>
        <v/>
      </c>
      <c r="L25" s="11" t="str">
        <f aca="false">IFERROR(K25/B25,"")</f>
        <v/>
      </c>
      <c r="M25" s="8"/>
      <c r="N25" s="8"/>
      <c r="O25" s="8"/>
      <c r="P25" s="8"/>
      <c r="Q25" s="8"/>
      <c r="R25" s="8"/>
      <c r="S25" s="8"/>
      <c r="T25" s="9" t="n">
        <f aca="false">SUM(M25:S25)</f>
        <v>0</v>
      </c>
      <c r="U25" s="8"/>
      <c r="V25" s="8"/>
      <c r="W25" s="8"/>
      <c r="X25" s="8"/>
      <c r="Y25" s="8"/>
      <c r="Z25" s="8"/>
      <c r="AA25" s="8"/>
      <c r="AB25" s="9" t="n">
        <f aca="false">SUM(U25:AA25)</f>
        <v>0</v>
      </c>
      <c r="AC25" s="9" t="n">
        <f aca="false">AB24+J25-T25</f>
        <v>0</v>
      </c>
      <c r="AD25" s="10" t="str">
        <f aca="false">IF(AB25=0,"",AC25-AB25)</f>
        <v/>
      </c>
      <c r="AE25" s="11" t="str">
        <f aca="false">IFERROR(AD25/AC25,"")</f>
        <v/>
      </c>
      <c r="AF25" s="12" t="n">
        <f aca="false">IFERROR((IF(K25="",0,K25)+IF(AD25="",0,AD25))*Assumptions!$B$3,"")</f>
        <v>0</v>
      </c>
      <c r="AG25" s="13"/>
    </row>
    <row r="26" customFormat="false" ht="15" hidden="false" customHeight="false" outlineLevel="0" collapsed="false">
      <c r="A26" s="7" t="n">
        <v>46188</v>
      </c>
      <c r="B26" s="8"/>
      <c r="C26" s="8"/>
      <c r="D26" s="8"/>
      <c r="E26" s="8"/>
      <c r="F26" s="8"/>
      <c r="G26" s="8"/>
      <c r="H26" s="8"/>
      <c r="I26" s="8"/>
      <c r="J26" s="9" t="n">
        <f aca="false">SUM(C26:I26)</f>
        <v>0</v>
      </c>
      <c r="K26" s="10" t="str">
        <f aca="false">IF(B26="","",B26-J26)</f>
        <v/>
      </c>
      <c r="L26" s="11" t="str">
        <f aca="false">IFERROR(K26/B26,"")</f>
        <v/>
      </c>
      <c r="M26" s="8"/>
      <c r="N26" s="8"/>
      <c r="O26" s="8"/>
      <c r="P26" s="8"/>
      <c r="Q26" s="8"/>
      <c r="R26" s="8"/>
      <c r="S26" s="8"/>
      <c r="T26" s="9" t="n">
        <f aca="false">SUM(M26:S26)</f>
        <v>0</v>
      </c>
      <c r="U26" s="8"/>
      <c r="V26" s="8"/>
      <c r="W26" s="8"/>
      <c r="X26" s="8"/>
      <c r="Y26" s="8"/>
      <c r="Z26" s="8"/>
      <c r="AA26" s="8"/>
      <c r="AB26" s="9" t="n">
        <f aca="false">SUM(U26:AA26)</f>
        <v>0</v>
      </c>
      <c r="AC26" s="9" t="n">
        <f aca="false">AB25+J26-T26</f>
        <v>0</v>
      </c>
      <c r="AD26" s="10" t="str">
        <f aca="false">IF(AB26=0,"",AC26-AB26)</f>
        <v/>
      </c>
      <c r="AE26" s="11" t="str">
        <f aca="false">IFERROR(AD26/AC26,"")</f>
        <v/>
      </c>
      <c r="AF26" s="12" t="n">
        <f aca="false">IFERROR((IF(K26="",0,K26)+IF(AD26="",0,AD26))*Assumptions!$B$3,"")</f>
        <v>0</v>
      </c>
      <c r="AG26" s="13"/>
    </row>
    <row r="27" customFormat="false" ht="15" hidden="false" customHeight="false" outlineLevel="0" collapsed="false">
      <c r="A27" s="7" t="n">
        <v>46189</v>
      </c>
      <c r="B27" s="8"/>
      <c r="C27" s="8"/>
      <c r="D27" s="8"/>
      <c r="E27" s="8"/>
      <c r="F27" s="8"/>
      <c r="G27" s="8"/>
      <c r="H27" s="8"/>
      <c r="I27" s="8"/>
      <c r="J27" s="9" t="n">
        <f aca="false">SUM(C27:I27)</f>
        <v>0</v>
      </c>
      <c r="K27" s="10" t="str">
        <f aca="false">IF(B27="","",B27-J27)</f>
        <v/>
      </c>
      <c r="L27" s="11" t="str">
        <f aca="false">IFERROR(K27/B27,"")</f>
        <v/>
      </c>
      <c r="M27" s="8"/>
      <c r="N27" s="8"/>
      <c r="O27" s="8"/>
      <c r="P27" s="8"/>
      <c r="Q27" s="8"/>
      <c r="R27" s="8"/>
      <c r="S27" s="8"/>
      <c r="T27" s="9" t="n">
        <f aca="false">SUM(M27:S27)</f>
        <v>0</v>
      </c>
      <c r="U27" s="8"/>
      <c r="V27" s="8"/>
      <c r="W27" s="8"/>
      <c r="X27" s="8"/>
      <c r="Y27" s="8"/>
      <c r="Z27" s="8"/>
      <c r="AA27" s="8"/>
      <c r="AB27" s="9" t="n">
        <f aca="false">SUM(U27:AA27)</f>
        <v>0</v>
      </c>
      <c r="AC27" s="9" t="n">
        <f aca="false">AB26+J27-T27</f>
        <v>0</v>
      </c>
      <c r="AD27" s="10" t="str">
        <f aca="false">IF(AB27=0,"",AC27-AB27)</f>
        <v/>
      </c>
      <c r="AE27" s="11" t="str">
        <f aca="false">IFERROR(AD27/AC27,"")</f>
        <v/>
      </c>
      <c r="AF27" s="12" t="n">
        <f aca="false">IFERROR((IF(K27="",0,K27)+IF(AD27="",0,AD27))*Assumptions!$B$3,"")</f>
        <v>0</v>
      </c>
      <c r="AG27" s="13"/>
    </row>
    <row r="28" customFormat="false" ht="15" hidden="false" customHeight="false" outlineLevel="0" collapsed="false">
      <c r="A28" s="7" t="n">
        <v>46190</v>
      </c>
      <c r="B28" s="8"/>
      <c r="C28" s="8"/>
      <c r="D28" s="8"/>
      <c r="E28" s="8"/>
      <c r="F28" s="8"/>
      <c r="G28" s="8"/>
      <c r="H28" s="8"/>
      <c r="I28" s="8"/>
      <c r="J28" s="9" t="n">
        <f aca="false">SUM(C28:I28)</f>
        <v>0</v>
      </c>
      <c r="K28" s="10" t="str">
        <f aca="false">IF(B28="","",B28-J28)</f>
        <v/>
      </c>
      <c r="L28" s="11" t="str">
        <f aca="false">IFERROR(K28/B28,"")</f>
        <v/>
      </c>
      <c r="M28" s="8"/>
      <c r="N28" s="8"/>
      <c r="O28" s="8"/>
      <c r="P28" s="8"/>
      <c r="Q28" s="8"/>
      <c r="R28" s="8"/>
      <c r="S28" s="8"/>
      <c r="T28" s="9" t="n">
        <f aca="false">SUM(M28:S28)</f>
        <v>0</v>
      </c>
      <c r="U28" s="8"/>
      <c r="V28" s="8"/>
      <c r="W28" s="8"/>
      <c r="X28" s="8"/>
      <c r="Y28" s="8"/>
      <c r="Z28" s="8"/>
      <c r="AA28" s="8"/>
      <c r="AB28" s="9" t="n">
        <f aca="false">SUM(U28:AA28)</f>
        <v>0</v>
      </c>
      <c r="AC28" s="9" t="n">
        <f aca="false">AB27+J28-T28</f>
        <v>0</v>
      </c>
      <c r="AD28" s="10" t="str">
        <f aca="false">IF(AB28=0,"",AC28-AB28)</f>
        <v/>
      </c>
      <c r="AE28" s="11" t="str">
        <f aca="false">IFERROR(AD28/AC28,"")</f>
        <v/>
      </c>
      <c r="AF28" s="12" t="n">
        <f aca="false">IFERROR((IF(K28="",0,K28)+IF(AD28="",0,AD28))*Assumptions!$B$3,"")</f>
        <v>0</v>
      </c>
      <c r="AG28" s="13"/>
    </row>
    <row r="29" customFormat="false" ht="15" hidden="false" customHeight="false" outlineLevel="0" collapsed="false">
      <c r="A29" s="7" t="n">
        <v>46191</v>
      </c>
      <c r="B29" s="8"/>
      <c r="C29" s="8"/>
      <c r="D29" s="8"/>
      <c r="E29" s="8"/>
      <c r="F29" s="8"/>
      <c r="G29" s="8"/>
      <c r="H29" s="8"/>
      <c r="I29" s="8"/>
      <c r="J29" s="9" t="n">
        <f aca="false">SUM(C29:I29)</f>
        <v>0</v>
      </c>
      <c r="K29" s="10" t="str">
        <f aca="false">IF(B29="","",B29-J29)</f>
        <v/>
      </c>
      <c r="L29" s="11" t="str">
        <f aca="false">IFERROR(K29/B29,"")</f>
        <v/>
      </c>
      <c r="M29" s="8"/>
      <c r="N29" s="8"/>
      <c r="O29" s="8"/>
      <c r="P29" s="8"/>
      <c r="Q29" s="8"/>
      <c r="R29" s="8"/>
      <c r="S29" s="8"/>
      <c r="T29" s="9" t="n">
        <f aca="false">SUM(M29:S29)</f>
        <v>0</v>
      </c>
      <c r="U29" s="8"/>
      <c r="V29" s="8"/>
      <c r="W29" s="8"/>
      <c r="X29" s="8"/>
      <c r="Y29" s="8"/>
      <c r="Z29" s="8"/>
      <c r="AA29" s="8"/>
      <c r="AB29" s="9" t="n">
        <f aca="false">SUM(U29:AA29)</f>
        <v>0</v>
      </c>
      <c r="AC29" s="9" t="n">
        <f aca="false">AB28+J29-T29</f>
        <v>0</v>
      </c>
      <c r="AD29" s="10" t="str">
        <f aca="false">IF(AB29=0,"",AC29-AB29)</f>
        <v/>
      </c>
      <c r="AE29" s="11" t="str">
        <f aca="false">IFERROR(AD29/AC29,"")</f>
        <v/>
      </c>
      <c r="AF29" s="12" t="n">
        <f aca="false">IFERROR((IF(K29="",0,K29)+IF(AD29="",0,AD29))*Assumptions!$B$3,"")</f>
        <v>0</v>
      </c>
      <c r="AG29" s="13"/>
    </row>
    <row r="30" customFormat="false" ht="15" hidden="false" customHeight="false" outlineLevel="0" collapsed="false">
      <c r="A30" s="7" t="n">
        <v>46192</v>
      </c>
      <c r="B30" s="8"/>
      <c r="C30" s="8"/>
      <c r="D30" s="8"/>
      <c r="E30" s="8"/>
      <c r="F30" s="8"/>
      <c r="G30" s="8"/>
      <c r="H30" s="8"/>
      <c r="I30" s="8"/>
      <c r="J30" s="9" t="n">
        <f aca="false">SUM(C30:I30)</f>
        <v>0</v>
      </c>
      <c r="K30" s="10" t="str">
        <f aca="false">IF(B30="","",B30-J30)</f>
        <v/>
      </c>
      <c r="L30" s="11" t="str">
        <f aca="false">IFERROR(K30/B30,"")</f>
        <v/>
      </c>
      <c r="M30" s="8"/>
      <c r="N30" s="8"/>
      <c r="O30" s="8"/>
      <c r="P30" s="8"/>
      <c r="Q30" s="8"/>
      <c r="R30" s="8"/>
      <c r="S30" s="8"/>
      <c r="T30" s="9" t="n">
        <f aca="false">SUM(M30:S30)</f>
        <v>0</v>
      </c>
      <c r="U30" s="8"/>
      <c r="V30" s="8"/>
      <c r="W30" s="8"/>
      <c r="X30" s="8"/>
      <c r="Y30" s="8"/>
      <c r="Z30" s="8"/>
      <c r="AA30" s="8"/>
      <c r="AB30" s="9" t="n">
        <f aca="false">SUM(U30:AA30)</f>
        <v>0</v>
      </c>
      <c r="AC30" s="9" t="n">
        <f aca="false">AB29+J30-T30</f>
        <v>0</v>
      </c>
      <c r="AD30" s="10" t="str">
        <f aca="false">IF(AB30=0,"",AC30-AB30)</f>
        <v/>
      </c>
      <c r="AE30" s="11" t="str">
        <f aca="false">IFERROR(AD30/AC30,"")</f>
        <v/>
      </c>
      <c r="AF30" s="12" t="n">
        <f aca="false">IFERROR((IF(K30="",0,K30)+IF(AD30="",0,AD30))*Assumptions!$B$3,"")</f>
        <v>0</v>
      </c>
      <c r="AG30" s="13"/>
    </row>
    <row r="31" customFormat="false" ht="15" hidden="false" customHeight="false" outlineLevel="0" collapsed="false">
      <c r="A31" s="7" t="n">
        <v>46193</v>
      </c>
      <c r="B31" s="8"/>
      <c r="C31" s="8"/>
      <c r="D31" s="8"/>
      <c r="E31" s="8"/>
      <c r="F31" s="8"/>
      <c r="G31" s="8"/>
      <c r="H31" s="8"/>
      <c r="I31" s="8"/>
      <c r="J31" s="9" t="n">
        <f aca="false">SUM(C31:I31)</f>
        <v>0</v>
      </c>
      <c r="K31" s="10" t="str">
        <f aca="false">IF(B31="","",B31-J31)</f>
        <v/>
      </c>
      <c r="L31" s="11" t="str">
        <f aca="false">IFERROR(K31/B31,"")</f>
        <v/>
      </c>
      <c r="M31" s="8"/>
      <c r="N31" s="8"/>
      <c r="O31" s="8"/>
      <c r="P31" s="8"/>
      <c r="Q31" s="8"/>
      <c r="R31" s="8"/>
      <c r="S31" s="8"/>
      <c r="T31" s="9" t="n">
        <f aca="false">SUM(M31:S31)</f>
        <v>0</v>
      </c>
      <c r="U31" s="8"/>
      <c r="V31" s="8"/>
      <c r="W31" s="8"/>
      <c r="X31" s="8"/>
      <c r="Y31" s="8"/>
      <c r="Z31" s="8"/>
      <c r="AA31" s="8"/>
      <c r="AB31" s="9" t="n">
        <f aca="false">SUM(U31:AA31)</f>
        <v>0</v>
      </c>
      <c r="AC31" s="9" t="n">
        <f aca="false">AB30+J31-T31</f>
        <v>0</v>
      </c>
      <c r="AD31" s="10" t="str">
        <f aca="false">IF(AB31=0,"",AC31-AB31)</f>
        <v/>
      </c>
      <c r="AE31" s="11" t="str">
        <f aca="false">IFERROR(AD31/AC31,"")</f>
        <v/>
      </c>
      <c r="AF31" s="12" t="n">
        <f aca="false">IFERROR((IF(K31="",0,K31)+IF(AD31="",0,AD31))*Assumptions!$B$3,"")</f>
        <v>0</v>
      </c>
      <c r="AG31" s="13"/>
    </row>
    <row r="32" customFormat="false" ht="15" hidden="false" customHeight="false" outlineLevel="0" collapsed="false">
      <c r="A32" s="7" t="n">
        <v>46194</v>
      </c>
      <c r="B32" s="8"/>
      <c r="C32" s="8"/>
      <c r="D32" s="8"/>
      <c r="E32" s="8"/>
      <c r="F32" s="8"/>
      <c r="G32" s="8"/>
      <c r="H32" s="8"/>
      <c r="I32" s="8"/>
      <c r="J32" s="9" t="n">
        <f aca="false">SUM(C32:I32)</f>
        <v>0</v>
      </c>
      <c r="K32" s="10" t="str">
        <f aca="false">IF(B32="","",B32-J32)</f>
        <v/>
      </c>
      <c r="L32" s="11" t="str">
        <f aca="false">IFERROR(K32/B32,"")</f>
        <v/>
      </c>
      <c r="M32" s="8"/>
      <c r="N32" s="8"/>
      <c r="O32" s="8"/>
      <c r="P32" s="8"/>
      <c r="Q32" s="8"/>
      <c r="R32" s="8"/>
      <c r="S32" s="8"/>
      <c r="T32" s="9" t="n">
        <f aca="false">SUM(M32:S32)</f>
        <v>0</v>
      </c>
      <c r="U32" s="8"/>
      <c r="V32" s="8"/>
      <c r="W32" s="8"/>
      <c r="X32" s="8"/>
      <c r="Y32" s="8"/>
      <c r="Z32" s="8"/>
      <c r="AA32" s="8"/>
      <c r="AB32" s="9" t="n">
        <f aca="false">SUM(U32:AA32)</f>
        <v>0</v>
      </c>
      <c r="AC32" s="9" t="n">
        <f aca="false">AB31+J32-T32</f>
        <v>0</v>
      </c>
      <c r="AD32" s="10" t="str">
        <f aca="false">IF(AB32=0,"",AC32-AB32)</f>
        <v/>
      </c>
      <c r="AE32" s="11" t="str">
        <f aca="false">IFERROR(AD32/AC32,"")</f>
        <v/>
      </c>
      <c r="AF32" s="12" t="n">
        <f aca="false">IFERROR((IF(K32="",0,K32)+IF(AD32="",0,AD32))*Assumptions!$B$3,"")</f>
        <v>0</v>
      </c>
      <c r="AG32" s="13"/>
    </row>
    <row r="33" customFormat="false" ht="15" hidden="false" customHeight="false" outlineLevel="0" collapsed="false">
      <c r="A33" s="7" t="n">
        <v>46195</v>
      </c>
      <c r="B33" s="8"/>
      <c r="C33" s="8"/>
      <c r="D33" s="8"/>
      <c r="E33" s="8"/>
      <c r="F33" s="8"/>
      <c r="G33" s="8"/>
      <c r="H33" s="8"/>
      <c r="I33" s="8"/>
      <c r="J33" s="9" t="n">
        <f aca="false">SUM(C33:I33)</f>
        <v>0</v>
      </c>
      <c r="K33" s="10" t="str">
        <f aca="false">IF(B33="","",B33-J33)</f>
        <v/>
      </c>
      <c r="L33" s="11" t="str">
        <f aca="false">IFERROR(K33/B33,"")</f>
        <v/>
      </c>
      <c r="M33" s="8"/>
      <c r="N33" s="8"/>
      <c r="O33" s="8"/>
      <c r="P33" s="8"/>
      <c r="Q33" s="8"/>
      <c r="R33" s="8"/>
      <c r="S33" s="8"/>
      <c r="T33" s="9" t="n">
        <f aca="false">SUM(M33:S33)</f>
        <v>0</v>
      </c>
      <c r="U33" s="8"/>
      <c r="V33" s="8"/>
      <c r="W33" s="8"/>
      <c r="X33" s="8"/>
      <c r="Y33" s="8"/>
      <c r="Z33" s="8"/>
      <c r="AA33" s="8"/>
      <c r="AB33" s="9" t="n">
        <f aca="false">SUM(U33:AA33)</f>
        <v>0</v>
      </c>
      <c r="AC33" s="9" t="n">
        <f aca="false">AB32+J33-T33</f>
        <v>0</v>
      </c>
      <c r="AD33" s="10" t="str">
        <f aca="false">IF(AB33=0,"",AC33-AB33)</f>
        <v/>
      </c>
      <c r="AE33" s="11" t="str">
        <f aca="false">IFERROR(AD33/AC33,"")</f>
        <v/>
      </c>
      <c r="AF33" s="12" t="n">
        <f aca="false">IFERROR((IF(K33="",0,K33)+IF(AD33="",0,AD33))*Assumptions!$B$3,"")</f>
        <v>0</v>
      </c>
      <c r="AG33" s="13"/>
    </row>
    <row r="34" customFormat="false" ht="15" hidden="false" customHeight="false" outlineLevel="0" collapsed="false">
      <c r="A34" s="7" t="n">
        <v>46196</v>
      </c>
      <c r="B34" s="8"/>
      <c r="C34" s="8"/>
      <c r="D34" s="8"/>
      <c r="E34" s="8"/>
      <c r="F34" s="8"/>
      <c r="G34" s="8"/>
      <c r="H34" s="8"/>
      <c r="I34" s="8"/>
      <c r="J34" s="9" t="n">
        <f aca="false">SUM(C34:I34)</f>
        <v>0</v>
      </c>
      <c r="K34" s="10" t="str">
        <f aca="false">IF(B34="","",B34-J34)</f>
        <v/>
      </c>
      <c r="L34" s="11" t="str">
        <f aca="false">IFERROR(K34/B34,"")</f>
        <v/>
      </c>
      <c r="M34" s="8"/>
      <c r="N34" s="8"/>
      <c r="O34" s="8"/>
      <c r="P34" s="8"/>
      <c r="Q34" s="8"/>
      <c r="R34" s="8"/>
      <c r="S34" s="8"/>
      <c r="T34" s="9" t="n">
        <f aca="false">SUM(M34:S34)</f>
        <v>0</v>
      </c>
      <c r="U34" s="8"/>
      <c r="V34" s="8"/>
      <c r="W34" s="8"/>
      <c r="X34" s="8"/>
      <c r="Y34" s="8"/>
      <c r="Z34" s="8"/>
      <c r="AA34" s="8"/>
      <c r="AB34" s="9" t="n">
        <f aca="false">SUM(U34:AA34)</f>
        <v>0</v>
      </c>
      <c r="AC34" s="9" t="n">
        <f aca="false">AB33+J34-T34</f>
        <v>0</v>
      </c>
      <c r="AD34" s="10" t="str">
        <f aca="false">IF(AB34=0,"",AC34-AB34)</f>
        <v/>
      </c>
      <c r="AE34" s="11" t="str">
        <f aca="false">IFERROR(AD34/AC34,"")</f>
        <v/>
      </c>
      <c r="AF34" s="12" t="n">
        <f aca="false">IFERROR((IF(K34="",0,K34)+IF(AD34="",0,AD34))*Assumptions!$B$3,"")</f>
        <v>0</v>
      </c>
      <c r="AG34" s="13"/>
    </row>
    <row r="35" customFormat="false" ht="15" hidden="false" customHeight="false" outlineLevel="0" collapsed="false">
      <c r="A35" s="7" t="n">
        <v>46197</v>
      </c>
      <c r="B35" s="8"/>
      <c r="C35" s="8"/>
      <c r="D35" s="8"/>
      <c r="E35" s="8"/>
      <c r="F35" s="8"/>
      <c r="G35" s="8"/>
      <c r="H35" s="8"/>
      <c r="I35" s="8"/>
      <c r="J35" s="9" t="n">
        <f aca="false">SUM(C35:I35)</f>
        <v>0</v>
      </c>
      <c r="K35" s="10" t="str">
        <f aca="false">IF(B35="","",B35-J35)</f>
        <v/>
      </c>
      <c r="L35" s="11" t="str">
        <f aca="false">IFERROR(K35/B35,"")</f>
        <v/>
      </c>
      <c r="M35" s="8"/>
      <c r="N35" s="8"/>
      <c r="O35" s="8"/>
      <c r="P35" s="8"/>
      <c r="Q35" s="8"/>
      <c r="R35" s="8"/>
      <c r="S35" s="8"/>
      <c r="T35" s="9" t="n">
        <f aca="false">SUM(M35:S35)</f>
        <v>0</v>
      </c>
      <c r="U35" s="8"/>
      <c r="V35" s="8"/>
      <c r="W35" s="8"/>
      <c r="X35" s="8"/>
      <c r="Y35" s="8"/>
      <c r="Z35" s="8"/>
      <c r="AA35" s="8"/>
      <c r="AB35" s="9" t="n">
        <f aca="false">SUM(U35:AA35)</f>
        <v>0</v>
      </c>
      <c r="AC35" s="9" t="n">
        <f aca="false">AB34+J35-T35</f>
        <v>0</v>
      </c>
      <c r="AD35" s="10" t="str">
        <f aca="false">IF(AB35=0,"",AC35-AB35)</f>
        <v/>
      </c>
      <c r="AE35" s="11" t="str">
        <f aca="false">IFERROR(AD35/AC35,"")</f>
        <v/>
      </c>
      <c r="AF35" s="12" t="n">
        <f aca="false">IFERROR((IF(K35="",0,K35)+IF(AD35="",0,AD35))*Assumptions!$B$3,"")</f>
        <v>0</v>
      </c>
      <c r="AG35" s="13"/>
    </row>
    <row r="36" customFormat="false" ht="15" hidden="false" customHeight="false" outlineLevel="0" collapsed="false">
      <c r="A36" s="7" t="n">
        <v>46198</v>
      </c>
      <c r="B36" s="8"/>
      <c r="C36" s="8"/>
      <c r="D36" s="8"/>
      <c r="E36" s="8"/>
      <c r="F36" s="8"/>
      <c r="G36" s="8"/>
      <c r="H36" s="8"/>
      <c r="I36" s="8"/>
      <c r="J36" s="9" t="n">
        <f aca="false">SUM(C36:I36)</f>
        <v>0</v>
      </c>
      <c r="K36" s="10" t="str">
        <f aca="false">IF(B36="","",B36-J36)</f>
        <v/>
      </c>
      <c r="L36" s="11" t="str">
        <f aca="false">IFERROR(K36/B36,"")</f>
        <v/>
      </c>
      <c r="M36" s="8"/>
      <c r="N36" s="8"/>
      <c r="O36" s="8"/>
      <c r="P36" s="8"/>
      <c r="Q36" s="8"/>
      <c r="R36" s="8"/>
      <c r="S36" s="8"/>
      <c r="T36" s="9" t="n">
        <f aca="false">SUM(M36:S36)</f>
        <v>0</v>
      </c>
      <c r="U36" s="8"/>
      <c r="V36" s="8"/>
      <c r="W36" s="8"/>
      <c r="X36" s="8"/>
      <c r="Y36" s="8"/>
      <c r="Z36" s="8"/>
      <c r="AA36" s="8"/>
      <c r="AB36" s="9" t="n">
        <f aca="false">SUM(U36:AA36)</f>
        <v>0</v>
      </c>
      <c r="AC36" s="9" t="n">
        <f aca="false">AB35+J36-T36</f>
        <v>0</v>
      </c>
      <c r="AD36" s="10" t="str">
        <f aca="false">IF(AB36=0,"",AC36-AB36)</f>
        <v/>
      </c>
      <c r="AE36" s="11" t="str">
        <f aca="false">IFERROR(AD36/AC36,"")</f>
        <v/>
      </c>
      <c r="AF36" s="12" t="n">
        <f aca="false">IFERROR((IF(K36="",0,K36)+IF(AD36="",0,AD36))*Assumptions!$B$3,"")</f>
        <v>0</v>
      </c>
      <c r="AG36" s="13"/>
    </row>
    <row r="37" customFormat="false" ht="15" hidden="false" customHeight="false" outlineLevel="0" collapsed="false">
      <c r="A37" s="7" t="n">
        <v>46199</v>
      </c>
      <c r="B37" s="8"/>
      <c r="C37" s="8"/>
      <c r="D37" s="8"/>
      <c r="E37" s="8"/>
      <c r="F37" s="8"/>
      <c r="G37" s="8"/>
      <c r="H37" s="8"/>
      <c r="I37" s="8"/>
      <c r="J37" s="9" t="n">
        <f aca="false">SUM(C37:I37)</f>
        <v>0</v>
      </c>
      <c r="K37" s="10" t="str">
        <f aca="false">IF(B37="","",B37-J37)</f>
        <v/>
      </c>
      <c r="L37" s="11" t="str">
        <f aca="false">IFERROR(K37/B37,"")</f>
        <v/>
      </c>
      <c r="M37" s="8"/>
      <c r="N37" s="8"/>
      <c r="O37" s="8"/>
      <c r="P37" s="8"/>
      <c r="Q37" s="8"/>
      <c r="R37" s="8"/>
      <c r="S37" s="8"/>
      <c r="T37" s="9" t="n">
        <f aca="false">SUM(M37:S37)</f>
        <v>0</v>
      </c>
      <c r="U37" s="8"/>
      <c r="V37" s="8"/>
      <c r="W37" s="8"/>
      <c r="X37" s="8"/>
      <c r="Y37" s="8"/>
      <c r="Z37" s="8"/>
      <c r="AA37" s="8"/>
      <c r="AB37" s="9" t="n">
        <f aca="false">SUM(U37:AA37)</f>
        <v>0</v>
      </c>
      <c r="AC37" s="9" t="n">
        <f aca="false">AB36+J37-T37</f>
        <v>0</v>
      </c>
      <c r="AD37" s="10" t="str">
        <f aca="false">IF(AB37=0,"",AC37-AB37)</f>
        <v/>
      </c>
      <c r="AE37" s="11" t="str">
        <f aca="false">IFERROR(AD37/AC37,"")</f>
        <v/>
      </c>
      <c r="AF37" s="12" t="n">
        <f aca="false">IFERROR((IF(K37="",0,K37)+IF(AD37="",0,AD37))*Assumptions!$B$3,"")</f>
        <v>0</v>
      </c>
      <c r="AG37" s="13"/>
    </row>
    <row r="38" customFormat="false" ht="15" hidden="false" customHeight="false" outlineLevel="0" collapsed="false">
      <c r="A38" s="7" t="n">
        <v>46200</v>
      </c>
      <c r="B38" s="8"/>
      <c r="C38" s="8"/>
      <c r="D38" s="8"/>
      <c r="E38" s="8"/>
      <c r="F38" s="8"/>
      <c r="G38" s="8"/>
      <c r="H38" s="8"/>
      <c r="I38" s="8"/>
      <c r="J38" s="9" t="n">
        <f aca="false">SUM(C38:I38)</f>
        <v>0</v>
      </c>
      <c r="K38" s="10" t="str">
        <f aca="false">IF(B38="","",B38-J38)</f>
        <v/>
      </c>
      <c r="L38" s="11" t="str">
        <f aca="false">IFERROR(K38/B38,"")</f>
        <v/>
      </c>
      <c r="M38" s="8"/>
      <c r="N38" s="8"/>
      <c r="O38" s="8"/>
      <c r="P38" s="8"/>
      <c r="Q38" s="8"/>
      <c r="R38" s="8"/>
      <c r="S38" s="8"/>
      <c r="T38" s="9" t="n">
        <f aca="false">SUM(M38:S38)</f>
        <v>0</v>
      </c>
      <c r="U38" s="8"/>
      <c r="V38" s="8"/>
      <c r="W38" s="8"/>
      <c r="X38" s="8"/>
      <c r="Y38" s="8"/>
      <c r="Z38" s="8"/>
      <c r="AA38" s="8"/>
      <c r="AB38" s="9" t="n">
        <f aca="false">SUM(U38:AA38)</f>
        <v>0</v>
      </c>
      <c r="AC38" s="9" t="n">
        <f aca="false">AB37+J38-T38</f>
        <v>0</v>
      </c>
      <c r="AD38" s="10" t="str">
        <f aca="false">IF(AB38=0,"",AC38-AB38)</f>
        <v/>
      </c>
      <c r="AE38" s="11" t="str">
        <f aca="false">IFERROR(AD38/AC38,"")</f>
        <v/>
      </c>
      <c r="AF38" s="12" t="n">
        <f aca="false">IFERROR((IF(K38="",0,K38)+IF(AD38="",0,AD38))*Assumptions!$B$3,"")</f>
        <v>0</v>
      </c>
      <c r="AG38" s="13"/>
    </row>
    <row r="39" customFormat="false" ht="15" hidden="false" customHeight="false" outlineLevel="0" collapsed="false">
      <c r="A39" s="7" t="n">
        <v>46201</v>
      </c>
      <c r="B39" s="8"/>
      <c r="C39" s="8"/>
      <c r="D39" s="8"/>
      <c r="E39" s="8"/>
      <c r="F39" s="8"/>
      <c r="G39" s="8"/>
      <c r="H39" s="8"/>
      <c r="I39" s="8"/>
      <c r="J39" s="9" t="n">
        <f aca="false">SUM(C39:I39)</f>
        <v>0</v>
      </c>
      <c r="K39" s="10" t="str">
        <f aca="false">IF(B39="","",B39-J39)</f>
        <v/>
      </c>
      <c r="L39" s="11" t="str">
        <f aca="false">IFERROR(K39/B39,"")</f>
        <v/>
      </c>
      <c r="M39" s="8"/>
      <c r="N39" s="8"/>
      <c r="O39" s="8"/>
      <c r="P39" s="8"/>
      <c r="Q39" s="8"/>
      <c r="R39" s="8"/>
      <c r="S39" s="8"/>
      <c r="T39" s="9" t="n">
        <f aca="false">SUM(M39:S39)</f>
        <v>0</v>
      </c>
      <c r="U39" s="8"/>
      <c r="V39" s="8"/>
      <c r="W39" s="8"/>
      <c r="X39" s="8"/>
      <c r="Y39" s="8"/>
      <c r="Z39" s="8"/>
      <c r="AA39" s="8"/>
      <c r="AB39" s="9" t="n">
        <f aca="false">SUM(U39:AA39)</f>
        <v>0</v>
      </c>
      <c r="AC39" s="9" t="n">
        <f aca="false">AB38+J39-T39</f>
        <v>0</v>
      </c>
      <c r="AD39" s="10" t="str">
        <f aca="false">IF(AB39=0,"",AC39-AB39)</f>
        <v/>
      </c>
      <c r="AE39" s="11" t="str">
        <f aca="false">IFERROR(AD39/AC39,"")</f>
        <v/>
      </c>
      <c r="AF39" s="12" t="n">
        <f aca="false">IFERROR((IF(K39="",0,K39)+IF(AD39="",0,AD39))*Assumptions!$B$3,"")</f>
        <v>0</v>
      </c>
      <c r="AG39" s="13"/>
    </row>
    <row r="40" customFormat="false" ht="15" hidden="false" customHeight="false" outlineLevel="0" collapsed="false">
      <c r="A40" s="7" t="n">
        <v>46202</v>
      </c>
      <c r="B40" s="8"/>
      <c r="C40" s="8"/>
      <c r="D40" s="8"/>
      <c r="E40" s="8"/>
      <c r="F40" s="8"/>
      <c r="G40" s="8"/>
      <c r="H40" s="8"/>
      <c r="I40" s="8"/>
      <c r="J40" s="9" t="n">
        <f aca="false">SUM(C40:I40)</f>
        <v>0</v>
      </c>
      <c r="K40" s="10" t="str">
        <f aca="false">IF(B40="","",B40-J40)</f>
        <v/>
      </c>
      <c r="L40" s="11" t="str">
        <f aca="false">IFERROR(K40/B40,"")</f>
        <v/>
      </c>
      <c r="M40" s="8"/>
      <c r="N40" s="8"/>
      <c r="O40" s="8"/>
      <c r="P40" s="8"/>
      <c r="Q40" s="8"/>
      <c r="R40" s="8"/>
      <c r="S40" s="8"/>
      <c r="T40" s="9" t="n">
        <f aca="false">SUM(M40:S40)</f>
        <v>0</v>
      </c>
      <c r="U40" s="8"/>
      <c r="V40" s="8"/>
      <c r="W40" s="8"/>
      <c r="X40" s="8"/>
      <c r="Y40" s="8"/>
      <c r="Z40" s="8"/>
      <c r="AA40" s="8"/>
      <c r="AB40" s="9" t="n">
        <f aca="false">SUM(U40:AA40)</f>
        <v>0</v>
      </c>
      <c r="AC40" s="9" t="n">
        <f aca="false">AB39+J40-T40</f>
        <v>0</v>
      </c>
      <c r="AD40" s="10" t="str">
        <f aca="false">IF(AB40=0,"",AC40-AB40)</f>
        <v/>
      </c>
      <c r="AE40" s="11" t="str">
        <f aca="false">IFERROR(AD40/AC40,"")</f>
        <v/>
      </c>
      <c r="AF40" s="12" t="n">
        <f aca="false">IFERROR((IF(K40="",0,K40)+IF(AD40="",0,AD40))*Assumptions!$B$3,"")</f>
        <v>0</v>
      </c>
      <c r="AG40" s="13"/>
    </row>
    <row r="41" customFormat="false" ht="15" hidden="false" customHeight="false" outlineLevel="0" collapsed="false">
      <c r="A41" s="7" t="n">
        <v>46203</v>
      </c>
      <c r="B41" s="8"/>
      <c r="C41" s="8"/>
      <c r="D41" s="8"/>
      <c r="E41" s="8"/>
      <c r="F41" s="8"/>
      <c r="G41" s="8"/>
      <c r="H41" s="8"/>
      <c r="I41" s="8"/>
      <c r="J41" s="9" t="n">
        <f aca="false">SUM(C41:I41)</f>
        <v>0</v>
      </c>
      <c r="K41" s="10" t="str">
        <f aca="false">IF(B41="","",B41-J41)</f>
        <v/>
      </c>
      <c r="L41" s="11" t="str">
        <f aca="false">IFERROR(K41/B41,"")</f>
        <v/>
      </c>
      <c r="M41" s="8"/>
      <c r="N41" s="8"/>
      <c r="O41" s="8"/>
      <c r="P41" s="8"/>
      <c r="Q41" s="8"/>
      <c r="R41" s="8"/>
      <c r="S41" s="8"/>
      <c r="T41" s="9" t="n">
        <f aca="false">SUM(M41:S41)</f>
        <v>0</v>
      </c>
      <c r="U41" s="8"/>
      <c r="V41" s="8"/>
      <c r="W41" s="8"/>
      <c r="X41" s="8"/>
      <c r="Y41" s="8"/>
      <c r="Z41" s="8"/>
      <c r="AA41" s="8"/>
      <c r="AB41" s="9" t="n">
        <f aca="false">SUM(U41:AA41)</f>
        <v>0</v>
      </c>
      <c r="AC41" s="9" t="n">
        <f aca="false">AB40+J41-T41</f>
        <v>0</v>
      </c>
      <c r="AD41" s="10" t="str">
        <f aca="false">IF(AB41=0,"",AC41-AB41)</f>
        <v/>
      </c>
      <c r="AE41" s="11" t="str">
        <f aca="false">IFERROR(AD41/AC41,"")</f>
        <v/>
      </c>
      <c r="AF41" s="12" t="n">
        <f aca="false">IFERROR((IF(K41="",0,K41)+IF(AD41="",0,AD41))*Assumptions!$B$3,"")</f>
        <v>0</v>
      </c>
      <c r="AG41" s="13"/>
    </row>
    <row r="42" customFormat="false" ht="15" hidden="false" customHeight="false" outlineLevel="0" collapsed="false">
      <c r="A42" s="7" t="n">
        <v>46204</v>
      </c>
      <c r="B42" s="8"/>
      <c r="C42" s="8"/>
      <c r="D42" s="8"/>
      <c r="E42" s="8"/>
      <c r="F42" s="8"/>
      <c r="G42" s="8"/>
      <c r="H42" s="8"/>
      <c r="I42" s="8"/>
      <c r="J42" s="9" t="n">
        <f aca="false">SUM(C42:I42)</f>
        <v>0</v>
      </c>
      <c r="K42" s="10" t="str">
        <f aca="false">IF(B42="","",B42-J42)</f>
        <v/>
      </c>
      <c r="L42" s="11" t="str">
        <f aca="false">IFERROR(K42/B42,"")</f>
        <v/>
      </c>
      <c r="M42" s="8"/>
      <c r="N42" s="8"/>
      <c r="O42" s="8"/>
      <c r="P42" s="8"/>
      <c r="Q42" s="8"/>
      <c r="R42" s="8"/>
      <c r="S42" s="8"/>
      <c r="T42" s="9" t="n">
        <f aca="false">SUM(M42:S42)</f>
        <v>0</v>
      </c>
      <c r="U42" s="8"/>
      <c r="V42" s="8"/>
      <c r="W42" s="8"/>
      <c r="X42" s="8"/>
      <c r="Y42" s="8"/>
      <c r="Z42" s="8"/>
      <c r="AA42" s="8"/>
      <c r="AB42" s="9" t="n">
        <f aca="false">SUM(U42:AA42)</f>
        <v>0</v>
      </c>
      <c r="AC42" s="9" t="n">
        <f aca="false">AB41+J42-T42</f>
        <v>0</v>
      </c>
      <c r="AD42" s="10" t="str">
        <f aca="false">IF(AB42=0,"",AC42-AB42)</f>
        <v/>
      </c>
      <c r="AE42" s="11" t="str">
        <f aca="false">IFERROR(AD42/AC42,"")</f>
        <v/>
      </c>
      <c r="AF42" s="12" t="n">
        <f aca="false">IFERROR((IF(K42="",0,K42)+IF(AD42="",0,AD42))*Assumptions!$B$3,"")</f>
        <v>0</v>
      </c>
      <c r="AG42" s="13"/>
    </row>
    <row r="43" customFormat="false" ht="15" hidden="false" customHeight="false" outlineLevel="0" collapsed="false">
      <c r="A43" s="7" t="n">
        <v>46205</v>
      </c>
      <c r="B43" s="8"/>
      <c r="C43" s="8"/>
      <c r="D43" s="8"/>
      <c r="E43" s="8"/>
      <c r="F43" s="8"/>
      <c r="G43" s="8"/>
      <c r="H43" s="8"/>
      <c r="I43" s="8"/>
      <c r="J43" s="9" t="n">
        <f aca="false">SUM(C43:I43)</f>
        <v>0</v>
      </c>
      <c r="K43" s="10" t="str">
        <f aca="false">IF(B43="","",B43-J43)</f>
        <v/>
      </c>
      <c r="L43" s="11" t="str">
        <f aca="false">IFERROR(K43/B43,"")</f>
        <v/>
      </c>
      <c r="M43" s="8"/>
      <c r="N43" s="8"/>
      <c r="O43" s="8"/>
      <c r="P43" s="8"/>
      <c r="Q43" s="8"/>
      <c r="R43" s="8"/>
      <c r="S43" s="8"/>
      <c r="T43" s="9" t="n">
        <f aca="false">SUM(M43:S43)</f>
        <v>0</v>
      </c>
      <c r="U43" s="8"/>
      <c r="V43" s="8"/>
      <c r="W43" s="8"/>
      <c r="X43" s="8"/>
      <c r="Y43" s="8"/>
      <c r="Z43" s="8"/>
      <c r="AA43" s="8"/>
      <c r="AB43" s="9" t="n">
        <f aca="false">SUM(U43:AA43)</f>
        <v>0</v>
      </c>
      <c r="AC43" s="9" t="n">
        <f aca="false">AB42+J43-T43</f>
        <v>0</v>
      </c>
      <c r="AD43" s="10" t="str">
        <f aca="false">IF(AB43=0,"",AC43-AB43)</f>
        <v/>
      </c>
      <c r="AE43" s="11" t="str">
        <f aca="false">IFERROR(AD43/AC43,"")</f>
        <v/>
      </c>
      <c r="AF43" s="12" t="n">
        <f aca="false">IFERROR((IF(K43="",0,K43)+IF(AD43="",0,AD43))*Assumptions!$B$3,"")</f>
        <v>0</v>
      </c>
      <c r="AG43" s="13"/>
    </row>
    <row r="44" customFormat="false" ht="15" hidden="false" customHeight="false" outlineLevel="0" collapsed="false">
      <c r="A44" s="7" t="n">
        <v>46206</v>
      </c>
      <c r="B44" s="8"/>
      <c r="C44" s="8"/>
      <c r="D44" s="8"/>
      <c r="E44" s="8"/>
      <c r="F44" s="8"/>
      <c r="G44" s="8"/>
      <c r="H44" s="8"/>
      <c r="I44" s="8"/>
      <c r="J44" s="9" t="n">
        <f aca="false">SUM(C44:I44)</f>
        <v>0</v>
      </c>
      <c r="K44" s="10" t="str">
        <f aca="false">IF(B44="","",B44-J44)</f>
        <v/>
      </c>
      <c r="L44" s="11" t="str">
        <f aca="false">IFERROR(K44/B44,"")</f>
        <v/>
      </c>
      <c r="M44" s="8"/>
      <c r="N44" s="8"/>
      <c r="O44" s="8"/>
      <c r="P44" s="8"/>
      <c r="Q44" s="8"/>
      <c r="R44" s="8"/>
      <c r="S44" s="8"/>
      <c r="T44" s="9" t="n">
        <f aca="false">SUM(M44:S44)</f>
        <v>0</v>
      </c>
      <c r="U44" s="8"/>
      <c r="V44" s="8"/>
      <c r="W44" s="8"/>
      <c r="X44" s="8"/>
      <c r="Y44" s="8"/>
      <c r="Z44" s="8"/>
      <c r="AA44" s="8"/>
      <c r="AB44" s="9" t="n">
        <f aca="false">SUM(U44:AA44)</f>
        <v>0</v>
      </c>
      <c r="AC44" s="9" t="n">
        <f aca="false">AB43+J44-T44</f>
        <v>0</v>
      </c>
      <c r="AD44" s="10" t="str">
        <f aca="false">IF(AB44=0,"",AC44-AB44)</f>
        <v/>
      </c>
      <c r="AE44" s="11" t="str">
        <f aca="false">IFERROR(AD44/AC44,"")</f>
        <v/>
      </c>
      <c r="AF44" s="12" t="n">
        <f aca="false">IFERROR((IF(K44="",0,K44)+IF(AD44="",0,AD44))*Assumptions!$B$3,"")</f>
        <v>0</v>
      </c>
      <c r="AG44" s="13"/>
    </row>
    <row r="45" customFormat="false" ht="15" hidden="false" customHeight="false" outlineLevel="0" collapsed="false">
      <c r="A45" s="7" t="n">
        <v>46207</v>
      </c>
      <c r="B45" s="8"/>
      <c r="C45" s="8"/>
      <c r="D45" s="8"/>
      <c r="E45" s="8"/>
      <c r="F45" s="8"/>
      <c r="G45" s="8"/>
      <c r="H45" s="8"/>
      <c r="I45" s="8"/>
      <c r="J45" s="9" t="n">
        <f aca="false">SUM(C45:I45)</f>
        <v>0</v>
      </c>
      <c r="K45" s="10" t="str">
        <f aca="false">IF(B45="","",B45-J45)</f>
        <v/>
      </c>
      <c r="L45" s="11" t="str">
        <f aca="false">IFERROR(K45/B45,"")</f>
        <v/>
      </c>
      <c r="M45" s="8"/>
      <c r="N45" s="8"/>
      <c r="O45" s="8"/>
      <c r="P45" s="8"/>
      <c r="Q45" s="8"/>
      <c r="R45" s="8"/>
      <c r="S45" s="8"/>
      <c r="T45" s="9" t="n">
        <f aca="false">SUM(M45:S45)</f>
        <v>0</v>
      </c>
      <c r="U45" s="8"/>
      <c r="V45" s="8"/>
      <c r="W45" s="8"/>
      <c r="X45" s="8"/>
      <c r="Y45" s="8"/>
      <c r="Z45" s="8"/>
      <c r="AA45" s="8"/>
      <c r="AB45" s="9" t="n">
        <f aca="false">SUM(U45:AA45)</f>
        <v>0</v>
      </c>
      <c r="AC45" s="9" t="n">
        <f aca="false">AB44+J45-T45</f>
        <v>0</v>
      </c>
      <c r="AD45" s="10" t="str">
        <f aca="false">IF(AB45=0,"",AC45-AB45)</f>
        <v/>
      </c>
      <c r="AE45" s="11" t="str">
        <f aca="false">IFERROR(AD45/AC45,"")</f>
        <v/>
      </c>
      <c r="AF45" s="12" t="n">
        <f aca="false">IFERROR((IF(K45="",0,K45)+IF(AD45="",0,AD45))*Assumptions!$B$3,"")</f>
        <v>0</v>
      </c>
      <c r="AG45" s="13"/>
    </row>
    <row r="46" customFormat="false" ht="15" hidden="false" customHeight="false" outlineLevel="0" collapsed="false">
      <c r="A46" s="7" t="n">
        <v>46208</v>
      </c>
      <c r="B46" s="8"/>
      <c r="C46" s="8"/>
      <c r="D46" s="8"/>
      <c r="E46" s="8"/>
      <c r="F46" s="8"/>
      <c r="G46" s="8"/>
      <c r="H46" s="8"/>
      <c r="I46" s="8"/>
      <c r="J46" s="9" t="n">
        <f aca="false">SUM(C46:I46)</f>
        <v>0</v>
      </c>
      <c r="K46" s="10" t="str">
        <f aca="false">IF(B46="","",B46-J46)</f>
        <v/>
      </c>
      <c r="L46" s="11" t="str">
        <f aca="false">IFERROR(K46/B46,"")</f>
        <v/>
      </c>
      <c r="M46" s="8"/>
      <c r="N46" s="8"/>
      <c r="O46" s="8"/>
      <c r="P46" s="8"/>
      <c r="Q46" s="8"/>
      <c r="R46" s="8"/>
      <c r="S46" s="8"/>
      <c r="T46" s="9" t="n">
        <f aca="false">SUM(M46:S46)</f>
        <v>0</v>
      </c>
      <c r="U46" s="8"/>
      <c r="V46" s="8"/>
      <c r="W46" s="8"/>
      <c r="X46" s="8"/>
      <c r="Y46" s="8"/>
      <c r="Z46" s="8"/>
      <c r="AA46" s="8"/>
      <c r="AB46" s="9" t="n">
        <f aca="false">SUM(U46:AA46)</f>
        <v>0</v>
      </c>
      <c r="AC46" s="9" t="n">
        <f aca="false">AB45+J46-T46</f>
        <v>0</v>
      </c>
      <c r="AD46" s="10" t="str">
        <f aca="false">IF(AB46=0,"",AC46-AB46)</f>
        <v/>
      </c>
      <c r="AE46" s="11" t="str">
        <f aca="false">IFERROR(AD46/AC46,"")</f>
        <v/>
      </c>
      <c r="AF46" s="12" t="n">
        <f aca="false">IFERROR((IF(K46="",0,K46)+IF(AD46="",0,AD46))*Assumptions!$B$3,"")</f>
        <v>0</v>
      </c>
      <c r="AG46" s="13"/>
    </row>
    <row r="47" customFormat="false" ht="15" hidden="false" customHeight="false" outlineLevel="0" collapsed="false">
      <c r="A47" s="7" t="n">
        <v>46209</v>
      </c>
      <c r="B47" s="8"/>
      <c r="C47" s="8"/>
      <c r="D47" s="8"/>
      <c r="E47" s="8"/>
      <c r="F47" s="8"/>
      <c r="G47" s="8"/>
      <c r="H47" s="8"/>
      <c r="I47" s="8"/>
      <c r="J47" s="9" t="n">
        <f aca="false">SUM(C47:I47)</f>
        <v>0</v>
      </c>
      <c r="K47" s="10" t="str">
        <f aca="false">IF(B47="","",B47-J47)</f>
        <v/>
      </c>
      <c r="L47" s="11" t="str">
        <f aca="false">IFERROR(K47/B47,"")</f>
        <v/>
      </c>
      <c r="M47" s="8"/>
      <c r="N47" s="8"/>
      <c r="O47" s="8"/>
      <c r="P47" s="8"/>
      <c r="Q47" s="8"/>
      <c r="R47" s="8"/>
      <c r="S47" s="8"/>
      <c r="T47" s="9" t="n">
        <f aca="false">SUM(M47:S47)</f>
        <v>0</v>
      </c>
      <c r="U47" s="8"/>
      <c r="V47" s="8"/>
      <c r="W47" s="8"/>
      <c r="X47" s="8"/>
      <c r="Y47" s="8"/>
      <c r="Z47" s="8"/>
      <c r="AA47" s="8"/>
      <c r="AB47" s="9" t="n">
        <f aca="false">SUM(U47:AA47)</f>
        <v>0</v>
      </c>
      <c r="AC47" s="9" t="n">
        <f aca="false">AB46+J47-T47</f>
        <v>0</v>
      </c>
      <c r="AD47" s="10" t="str">
        <f aca="false">IF(AB47=0,"",AC47-AB47)</f>
        <v/>
      </c>
      <c r="AE47" s="11" t="str">
        <f aca="false">IFERROR(AD47/AC47,"")</f>
        <v/>
      </c>
      <c r="AF47" s="12" t="n">
        <f aca="false">IFERROR((IF(K47="",0,K47)+IF(AD47="",0,AD47))*Assumptions!$B$3,"")</f>
        <v>0</v>
      </c>
      <c r="AG47" s="13"/>
    </row>
    <row r="48" customFormat="false" ht="15" hidden="false" customHeight="false" outlineLevel="0" collapsed="false">
      <c r="A48" s="7" t="n">
        <v>46210</v>
      </c>
      <c r="B48" s="8"/>
      <c r="C48" s="8"/>
      <c r="D48" s="8"/>
      <c r="E48" s="8"/>
      <c r="F48" s="8"/>
      <c r="G48" s="8"/>
      <c r="H48" s="8"/>
      <c r="I48" s="8"/>
      <c r="J48" s="9" t="n">
        <f aca="false">SUM(C48:I48)</f>
        <v>0</v>
      </c>
      <c r="K48" s="10" t="str">
        <f aca="false">IF(B48="","",B48-J48)</f>
        <v/>
      </c>
      <c r="L48" s="11" t="str">
        <f aca="false">IFERROR(K48/B48,"")</f>
        <v/>
      </c>
      <c r="M48" s="8"/>
      <c r="N48" s="8"/>
      <c r="O48" s="8"/>
      <c r="P48" s="8"/>
      <c r="Q48" s="8"/>
      <c r="R48" s="8"/>
      <c r="S48" s="8"/>
      <c r="T48" s="9" t="n">
        <f aca="false">SUM(M48:S48)</f>
        <v>0</v>
      </c>
      <c r="U48" s="8"/>
      <c r="V48" s="8"/>
      <c r="W48" s="8"/>
      <c r="X48" s="8"/>
      <c r="Y48" s="8"/>
      <c r="Z48" s="8"/>
      <c r="AA48" s="8"/>
      <c r="AB48" s="9" t="n">
        <f aca="false">SUM(U48:AA48)</f>
        <v>0</v>
      </c>
      <c r="AC48" s="9" t="n">
        <f aca="false">AB47+J48-T48</f>
        <v>0</v>
      </c>
      <c r="AD48" s="10" t="str">
        <f aca="false">IF(AB48=0,"",AC48-AB48)</f>
        <v/>
      </c>
      <c r="AE48" s="11" t="str">
        <f aca="false">IFERROR(AD48/AC48,"")</f>
        <v/>
      </c>
      <c r="AF48" s="12" t="n">
        <f aca="false">IFERROR((IF(K48="",0,K48)+IF(AD48="",0,AD48))*Assumptions!$B$3,"")</f>
        <v>0</v>
      </c>
      <c r="AG48" s="13"/>
    </row>
    <row r="49" customFormat="false" ht="15" hidden="false" customHeight="false" outlineLevel="0" collapsed="false">
      <c r="A49" s="7" t="n">
        <v>46211</v>
      </c>
      <c r="B49" s="8"/>
      <c r="C49" s="8"/>
      <c r="D49" s="8"/>
      <c r="E49" s="8"/>
      <c r="F49" s="8"/>
      <c r="G49" s="8"/>
      <c r="H49" s="8"/>
      <c r="I49" s="8"/>
      <c r="J49" s="9" t="n">
        <f aca="false">SUM(C49:I49)</f>
        <v>0</v>
      </c>
      <c r="K49" s="10" t="str">
        <f aca="false">IF(B49="","",B49-J49)</f>
        <v/>
      </c>
      <c r="L49" s="11" t="str">
        <f aca="false">IFERROR(K49/B49,"")</f>
        <v/>
      </c>
      <c r="M49" s="8"/>
      <c r="N49" s="8"/>
      <c r="O49" s="8"/>
      <c r="P49" s="8"/>
      <c r="Q49" s="8"/>
      <c r="R49" s="8"/>
      <c r="S49" s="8"/>
      <c r="T49" s="9" t="n">
        <f aca="false">SUM(M49:S49)</f>
        <v>0</v>
      </c>
      <c r="U49" s="8"/>
      <c r="V49" s="8"/>
      <c r="W49" s="8"/>
      <c r="X49" s="8"/>
      <c r="Y49" s="8"/>
      <c r="Z49" s="8"/>
      <c r="AA49" s="8"/>
      <c r="AB49" s="9" t="n">
        <f aca="false">SUM(U49:AA49)</f>
        <v>0</v>
      </c>
      <c r="AC49" s="9" t="n">
        <f aca="false">AB48+J49-T49</f>
        <v>0</v>
      </c>
      <c r="AD49" s="10" t="str">
        <f aca="false">IF(AB49=0,"",AC49-AB49)</f>
        <v/>
      </c>
      <c r="AE49" s="11" t="str">
        <f aca="false">IFERROR(AD49/AC49,"")</f>
        <v/>
      </c>
      <c r="AF49" s="12" t="n">
        <f aca="false">IFERROR((IF(K49="",0,K49)+IF(AD49="",0,AD49))*Assumptions!$B$3,"")</f>
        <v>0</v>
      </c>
      <c r="AG49" s="13"/>
    </row>
    <row r="50" customFormat="false" ht="15" hidden="false" customHeight="false" outlineLevel="0" collapsed="false">
      <c r="A50" s="7" t="n">
        <v>46212</v>
      </c>
      <c r="B50" s="8"/>
      <c r="C50" s="8"/>
      <c r="D50" s="8"/>
      <c r="E50" s="8"/>
      <c r="F50" s="8"/>
      <c r="G50" s="8"/>
      <c r="H50" s="8"/>
      <c r="I50" s="8"/>
      <c r="J50" s="9" t="n">
        <f aca="false">SUM(C50:I50)</f>
        <v>0</v>
      </c>
      <c r="K50" s="10" t="str">
        <f aca="false">IF(B50="","",B50-J50)</f>
        <v/>
      </c>
      <c r="L50" s="11" t="str">
        <f aca="false">IFERROR(K50/B50,"")</f>
        <v/>
      </c>
      <c r="M50" s="8"/>
      <c r="N50" s="8"/>
      <c r="O50" s="8"/>
      <c r="P50" s="8"/>
      <c r="Q50" s="8"/>
      <c r="R50" s="8"/>
      <c r="S50" s="8"/>
      <c r="T50" s="9" t="n">
        <f aca="false">SUM(M50:S50)</f>
        <v>0</v>
      </c>
      <c r="U50" s="8"/>
      <c r="V50" s="8"/>
      <c r="W50" s="8"/>
      <c r="X50" s="8"/>
      <c r="Y50" s="8"/>
      <c r="Z50" s="8"/>
      <c r="AA50" s="8"/>
      <c r="AB50" s="9" t="n">
        <f aca="false">SUM(U50:AA50)</f>
        <v>0</v>
      </c>
      <c r="AC50" s="9" t="n">
        <f aca="false">AB49+J50-T50</f>
        <v>0</v>
      </c>
      <c r="AD50" s="10" t="str">
        <f aca="false">IF(AB50=0,"",AC50-AB50)</f>
        <v/>
      </c>
      <c r="AE50" s="11" t="str">
        <f aca="false">IFERROR(AD50/AC50,"")</f>
        <v/>
      </c>
      <c r="AF50" s="12" t="n">
        <f aca="false">IFERROR((IF(K50="",0,K50)+IF(AD50="",0,AD50))*Assumptions!$B$3,"")</f>
        <v>0</v>
      </c>
      <c r="AG50" s="13"/>
    </row>
    <row r="51" customFormat="false" ht="15" hidden="false" customHeight="false" outlineLevel="0" collapsed="false">
      <c r="A51" s="7" t="n">
        <v>46213</v>
      </c>
      <c r="B51" s="8"/>
      <c r="C51" s="8"/>
      <c r="D51" s="8"/>
      <c r="E51" s="8"/>
      <c r="F51" s="8"/>
      <c r="G51" s="8"/>
      <c r="H51" s="8"/>
      <c r="I51" s="8"/>
      <c r="J51" s="9" t="n">
        <f aca="false">SUM(C51:I51)</f>
        <v>0</v>
      </c>
      <c r="K51" s="10" t="str">
        <f aca="false">IF(B51="","",B51-J51)</f>
        <v/>
      </c>
      <c r="L51" s="11" t="str">
        <f aca="false">IFERROR(K51/B51,"")</f>
        <v/>
      </c>
      <c r="M51" s="8"/>
      <c r="N51" s="8"/>
      <c r="O51" s="8"/>
      <c r="P51" s="8"/>
      <c r="Q51" s="8"/>
      <c r="R51" s="8"/>
      <c r="S51" s="8"/>
      <c r="T51" s="9" t="n">
        <f aca="false">SUM(M51:S51)</f>
        <v>0</v>
      </c>
      <c r="U51" s="8"/>
      <c r="V51" s="8"/>
      <c r="W51" s="8"/>
      <c r="X51" s="8"/>
      <c r="Y51" s="8"/>
      <c r="Z51" s="8"/>
      <c r="AA51" s="8"/>
      <c r="AB51" s="9" t="n">
        <f aca="false">SUM(U51:AA51)</f>
        <v>0</v>
      </c>
      <c r="AC51" s="9" t="n">
        <f aca="false">AB50+J51-T51</f>
        <v>0</v>
      </c>
      <c r="AD51" s="10" t="str">
        <f aca="false">IF(AB51=0,"",AC51-AB51)</f>
        <v/>
      </c>
      <c r="AE51" s="11" t="str">
        <f aca="false">IFERROR(AD51/AC51,"")</f>
        <v/>
      </c>
      <c r="AF51" s="12" t="n">
        <f aca="false">IFERROR((IF(K51="",0,K51)+IF(AD51="",0,AD51))*Assumptions!$B$3,"")</f>
        <v>0</v>
      </c>
      <c r="AG51" s="13"/>
    </row>
    <row r="52" customFormat="false" ht="15" hidden="false" customHeight="false" outlineLevel="0" collapsed="false">
      <c r="A52" s="7" t="n">
        <v>46214</v>
      </c>
      <c r="B52" s="8"/>
      <c r="C52" s="8"/>
      <c r="D52" s="8"/>
      <c r="E52" s="8"/>
      <c r="F52" s="8"/>
      <c r="G52" s="8"/>
      <c r="H52" s="8"/>
      <c r="I52" s="8"/>
      <c r="J52" s="9" t="n">
        <f aca="false">SUM(C52:I52)</f>
        <v>0</v>
      </c>
      <c r="K52" s="10" t="str">
        <f aca="false">IF(B52="","",B52-J52)</f>
        <v/>
      </c>
      <c r="L52" s="11" t="str">
        <f aca="false">IFERROR(K52/B52,"")</f>
        <v/>
      </c>
      <c r="M52" s="8"/>
      <c r="N52" s="8"/>
      <c r="O52" s="8"/>
      <c r="P52" s="8"/>
      <c r="Q52" s="8"/>
      <c r="R52" s="8"/>
      <c r="S52" s="8"/>
      <c r="T52" s="9" t="n">
        <f aca="false">SUM(M52:S52)</f>
        <v>0</v>
      </c>
      <c r="U52" s="8"/>
      <c r="V52" s="8"/>
      <c r="W52" s="8"/>
      <c r="X52" s="8"/>
      <c r="Y52" s="8"/>
      <c r="Z52" s="8"/>
      <c r="AA52" s="8"/>
      <c r="AB52" s="9" t="n">
        <f aca="false">SUM(U52:AA52)</f>
        <v>0</v>
      </c>
      <c r="AC52" s="9" t="n">
        <f aca="false">AB51+J52-T52</f>
        <v>0</v>
      </c>
      <c r="AD52" s="10" t="str">
        <f aca="false">IF(AB52=0,"",AC52-AB52)</f>
        <v/>
      </c>
      <c r="AE52" s="11" t="str">
        <f aca="false">IFERROR(AD52/AC52,"")</f>
        <v/>
      </c>
      <c r="AF52" s="12" t="n">
        <f aca="false">IFERROR((IF(K52="",0,K52)+IF(AD52="",0,AD52))*Assumptions!$B$3,"")</f>
        <v>0</v>
      </c>
      <c r="AG52" s="13"/>
    </row>
    <row r="53" customFormat="false" ht="15" hidden="false" customHeight="false" outlineLevel="0" collapsed="false">
      <c r="A53" s="7" t="n">
        <v>46215</v>
      </c>
      <c r="B53" s="8"/>
      <c r="C53" s="8"/>
      <c r="D53" s="8"/>
      <c r="E53" s="8"/>
      <c r="F53" s="8"/>
      <c r="G53" s="8"/>
      <c r="H53" s="8"/>
      <c r="I53" s="8"/>
      <c r="J53" s="9" t="n">
        <f aca="false">SUM(C53:I53)</f>
        <v>0</v>
      </c>
      <c r="K53" s="10" t="str">
        <f aca="false">IF(B53="","",B53-J53)</f>
        <v/>
      </c>
      <c r="L53" s="11" t="str">
        <f aca="false">IFERROR(K53/B53,"")</f>
        <v/>
      </c>
      <c r="M53" s="8"/>
      <c r="N53" s="8"/>
      <c r="O53" s="8"/>
      <c r="P53" s="8"/>
      <c r="Q53" s="8"/>
      <c r="R53" s="8"/>
      <c r="S53" s="8"/>
      <c r="T53" s="9" t="n">
        <f aca="false">SUM(M53:S53)</f>
        <v>0</v>
      </c>
      <c r="U53" s="8"/>
      <c r="V53" s="8"/>
      <c r="W53" s="8"/>
      <c r="X53" s="8"/>
      <c r="Y53" s="8"/>
      <c r="Z53" s="8"/>
      <c r="AA53" s="8"/>
      <c r="AB53" s="9" t="n">
        <f aca="false">SUM(U53:AA53)</f>
        <v>0</v>
      </c>
      <c r="AC53" s="9" t="n">
        <f aca="false">AB52+J53-T53</f>
        <v>0</v>
      </c>
      <c r="AD53" s="10" t="str">
        <f aca="false">IF(AB53=0,"",AC53-AB53)</f>
        <v/>
      </c>
      <c r="AE53" s="11" t="str">
        <f aca="false">IFERROR(AD53/AC53,"")</f>
        <v/>
      </c>
      <c r="AF53" s="12" t="n">
        <f aca="false">IFERROR((IF(K53="",0,K53)+IF(AD53="",0,AD53))*Assumptions!$B$3,"")</f>
        <v>0</v>
      </c>
      <c r="AG53" s="13"/>
    </row>
    <row r="54" customFormat="false" ht="15" hidden="false" customHeight="false" outlineLevel="0" collapsed="false">
      <c r="A54" s="7" t="n">
        <v>46216</v>
      </c>
      <c r="B54" s="8"/>
      <c r="C54" s="8"/>
      <c r="D54" s="8"/>
      <c r="E54" s="8"/>
      <c r="F54" s="8"/>
      <c r="G54" s="8"/>
      <c r="H54" s="8"/>
      <c r="I54" s="8"/>
      <c r="J54" s="9" t="n">
        <f aca="false">SUM(C54:I54)</f>
        <v>0</v>
      </c>
      <c r="K54" s="10" t="str">
        <f aca="false">IF(B54="","",B54-J54)</f>
        <v/>
      </c>
      <c r="L54" s="11" t="str">
        <f aca="false">IFERROR(K54/B54,"")</f>
        <v/>
      </c>
      <c r="M54" s="8"/>
      <c r="N54" s="8"/>
      <c r="O54" s="8"/>
      <c r="P54" s="8"/>
      <c r="Q54" s="8"/>
      <c r="R54" s="8"/>
      <c r="S54" s="8"/>
      <c r="T54" s="9" t="n">
        <f aca="false">SUM(M54:S54)</f>
        <v>0</v>
      </c>
      <c r="U54" s="8"/>
      <c r="V54" s="8"/>
      <c r="W54" s="8"/>
      <c r="X54" s="8"/>
      <c r="Y54" s="8"/>
      <c r="Z54" s="8"/>
      <c r="AA54" s="8"/>
      <c r="AB54" s="9" t="n">
        <f aca="false">SUM(U54:AA54)</f>
        <v>0</v>
      </c>
      <c r="AC54" s="9" t="n">
        <f aca="false">AB53+J54-T54</f>
        <v>0</v>
      </c>
      <c r="AD54" s="10" t="str">
        <f aca="false">IF(AB54=0,"",AC54-AB54)</f>
        <v/>
      </c>
      <c r="AE54" s="11" t="str">
        <f aca="false">IFERROR(AD54/AC54,"")</f>
        <v/>
      </c>
      <c r="AF54" s="12" t="n">
        <f aca="false">IFERROR((IF(K54="",0,K54)+IF(AD54="",0,AD54))*Assumptions!$B$3,"")</f>
        <v>0</v>
      </c>
      <c r="AG54" s="13"/>
    </row>
    <row r="55" customFormat="false" ht="15" hidden="false" customHeight="false" outlineLevel="0" collapsed="false">
      <c r="A55" s="7" t="n">
        <v>46217</v>
      </c>
      <c r="B55" s="8"/>
      <c r="C55" s="8"/>
      <c r="D55" s="8"/>
      <c r="E55" s="8"/>
      <c r="F55" s="8"/>
      <c r="G55" s="8"/>
      <c r="H55" s="8"/>
      <c r="I55" s="8"/>
      <c r="J55" s="9" t="n">
        <f aca="false">SUM(C55:I55)</f>
        <v>0</v>
      </c>
      <c r="K55" s="10" t="str">
        <f aca="false">IF(B55="","",B55-J55)</f>
        <v/>
      </c>
      <c r="L55" s="11" t="str">
        <f aca="false">IFERROR(K55/B55,"")</f>
        <v/>
      </c>
      <c r="M55" s="8"/>
      <c r="N55" s="8"/>
      <c r="O55" s="8"/>
      <c r="P55" s="8"/>
      <c r="Q55" s="8"/>
      <c r="R55" s="8"/>
      <c r="S55" s="8"/>
      <c r="T55" s="9" t="n">
        <f aca="false">SUM(M55:S55)</f>
        <v>0</v>
      </c>
      <c r="U55" s="8"/>
      <c r="V55" s="8"/>
      <c r="W55" s="8"/>
      <c r="X55" s="8"/>
      <c r="Y55" s="8"/>
      <c r="Z55" s="8"/>
      <c r="AA55" s="8"/>
      <c r="AB55" s="9" t="n">
        <f aca="false">SUM(U55:AA55)</f>
        <v>0</v>
      </c>
      <c r="AC55" s="9" t="n">
        <f aca="false">AB54+J55-T55</f>
        <v>0</v>
      </c>
      <c r="AD55" s="10" t="str">
        <f aca="false">IF(AB55=0,"",AC55-AB55)</f>
        <v/>
      </c>
      <c r="AE55" s="11" t="str">
        <f aca="false">IFERROR(AD55/AC55,"")</f>
        <v/>
      </c>
      <c r="AF55" s="12" t="n">
        <f aca="false">IFERROR((IF(K55="",0,K55)+IF(AD55="",0,AD55))*Assumptions!$B$3,"")</f>
        <v>0</v>
      </c>
      <c r="AG55" s="13"/>
    </row>
    <row r="56" customFormat="false" ht="15" hidden="false" customHeight="false" outlineLevel="0" collapsed="false">
      <c r="A56" s="7" t="n">
        <v>46218</v>
      </c>
      <c r="B56" s="8"/>
      <c r="C56" s="8"/>
      <c r="D56" s="8"/>
      <c r="E56" s="8"/>
      <c r="F56" s="8"/>
      <c r="G56" s="8"/>
      <c r="H56" s="8"/>
      <c r="I56" s="8"/>
      <c r="J56" s="9" t="n">
        <f aca="false">SUM(C56:I56)</f>
        <v>0</v>
      </c>
      <c r="K56" s="10" t="str">
        <f aca="false">IF(B56="","",B56-J56)</f>
        <v/>
      </c>
      <c r="L56" s="11" t="str">
        <f aca="false">IFERROR(K56/B56,"")</f>
        <v/>
      </c>
      <c r="M56" s="8"/>
      <c r="N56" s="8"/>
      <c r="O56" s="8"/>
      <c r="P56" s="8"/>
      <c r="Q56" s="8"/>
      <c r="R56" s="8"/>
      <c r="S56" s="8"/>
      <c r="T56" s="9" t="n">
        <f aca="false">SUM(M56:S56)</f>
        <v>0</v>
      </c>
      <c r="U56" s="8"/>
      <c r="V56" s="8"/>
      <c r="W56" s="8"/>
      <c r="X56" s="8"/>
      <c r="Y56" s="8"/>
      <c r="Z56" s="8"/>
      <c r="AA56" s="8"/>
      <c r="AB56" s="9" t="n">
        <f aca="false">SUM(U56:AA56)</f>
        <v>0</v>
      </c>
      <c r="AC56" s="9" t="n">
        <f aca="false">AB55+J56-T56</f>
        <v>0</v>
      </c>
      <c r="AD56" s="10" t="str">
        <f aca="false">IF(AB56=0,"",AC56-AB56)</f>
        <v/>
      </c>
      <c r="AE56" s="11" t="str">
        <f aca="false">IFERROR(AD56/AC56,"")</f>
        <v/>
      </c>
      <c r="AF56" s="12" t="n">
        <f aca="false">IFERROR((IF(K56="",0,K56)+IF(AD56="",0,AD56))*Assumptions!$B$3,"")</f>
        <v>0</v>
      </c>
      <c r="AG56" s="13"/>
    </row>
    <row r="57" customFormat="false" ht="15" hidden="false" customHeight="false" outlineLevel="0" collapsed="false">
      <c r="A57" s="7" t="n">
        <v>46219</v>
      </c>
      <c r="B57" s="8"/>
      <c r="C57" s="8"/>
      <c r="D57" s="8"/>
      <c r="E57" s="8"/>
      <c r="F57" s="8"/>
      <c r="G57" s="8"/>
      <c r="H57" s="8"/>
      <c r="I57" s="8"/>
      <c r="J57" s="9" t="n">
        <f aca="false">SUM(C57:I57)</f>
        <v>0</v>
      </c>
      <c r="K57" s="10" t="str">
        <f aca="false">IF(B57="","",B57-J57)</f>
        <v/>
      </c>
      <c r="L57" s="11" t="str">
        <f aca="false">IFERROR(K57/B57,"")</f>
        <v/>
      </c>
      <c r="M57" s="8"/>
      <c r="N57" s="8"/>
      <c r="O57" s="8"/>
      <c r="P57" s="8"/>
      <c r="Q57" s="8"/>
      <c r="R57" s="8"/>
      <c r="S57" s="8"/>
      <c r="T57" s="9" t="n">
        <f aca="false">SUM(M57:S57)</f>
        <v>0</v>
      </c>
      <c r="U57" s="8"/>
      <c r="V57" s="8"/>
      <c r="W57" s="8"/>
      <c r="X57" s="8"/>
      <c r="Y57" s="8"/>
      <c r="Z57" s="8"/>
      <c r="AA57" s="8"/>
      <c r="AB57" s="9" t="n">
        <f aca="false">SUM(U57:AA57)</f>
        <v>0</v>
      </c>
      <c r="AC57" s="9" t="n">
        <f aca="false">AB56+J57-T57</f>
        <v>0</v>
      </c>
      <c r="AD57" s="10" t="str">
        <f aca="false">IF(AB57=0,"",AC57-AB57)</f>
        <v/>
      </c>
      <c r="AE57" s="11" t="str">
        <f aca="false">IFERROR(AD57/AC57,"")</f>
        <v/>
      </c>
      <c r="AF57" s="12" t="n">
        <f aca="false">IFERROR((IF(K57="",0,K57)+IF(AD57="",0,AD57))*Assumptions!$B$3,"")</f>
        <v>0</v>
      </c>
      <c r="AG57" s="13"/>
    </row>
    <row r="58" customFormat="false" ht="15" hidden="false" customHeight="false" outlineLevel="0" collapsed="false">
      <c r="A58" s="7" t="n">
        <v>46220</v>
      </c>
      <c r="B58" s="8"/>
      <c r="C58" s="8"/>
      <c r="D58" s="8"/>
      <c r="E58" s="8"/>
      <c r="F58" s="8"/>
      <c r="G58" s="8"/>
      <c r="H58" s="8"/>
      <c r="I58" s="8"/>
      <c r="J58" s="9" t="n">
        <f aca="false">SUM(C58:I58)</f>
        <v>0</v>
      </c>
      <c r="K58" s="10" t="str">
        <f aca="false">IF(B58="","",B58-J58)</f>
        <v/>
      </c>
      <c r="L58" s="11" t="str">
        <f aca="false">IFERROR(K58/B58,"")</f>
        <v/>
      </c>
      <c r="M58" s="8"/>
      <c r="N58" s="8"/>
      <c r="O58" s="8"/>
      <c r="P58" s="8"/>
      <c r="Q58" s="8"/>
      <c r="R58" s="8"/>
      <c r="S58" s="8"/>
      <c r="T58" s="9" t="n">
        <f aca="false">SUM(M58:S58)</f>
        <v>0</v>
      </c>
      <c r="U58" s="8"/>
      <c r="V58" s="8"/>
      <c r="W58" s="8"/>
      <c r="X58" s="8"/>
      <c r="Y58" s="8"/>
      <c r="Z58" s="8"/>
      <c r="AA58" s="8"/>
      <c r="AB58" s="9" t="n">
        <f aca="false">SUM(U58:AA58)</f>
        <v>0</v>
      </c>
      <c r="AC58" s="9" t="n">
        <f aca="false">AB57+J58-T58</f>
        <v>0</v>
      </c>
      <c r="AD58" s="10" t="str">
        <f aca="false">IF(AB58=0,"",AC58-AB58)</f>
        <v/>
      </c>
      <c r="AE58" s="11" t="str">
        <f aca="false">IFERROR(AD58/AC58,"")</f>
        <v/>
      </c>
      <c r="AF58" s="12" t="n">
        <f aca="false">IFERROR((IF(K58="",0,K58)+IF(AD58="",0,AD58))*Assumptions!$B$3,"")</f>
        <v>0</v>
      </c>
      <c r="AG58" s="13"/>
    </row>
    <row r="59" customFormat="false" ht="15" hidden="false" customHeight="false" outlineLevel="0" collapsed="false">
      <c r="A59" s="7" t="n">
        <v>46221</v>
      </c>
      <c r="B59" s="8"/>
      <c r="C59" s="8"/>
      <c r="D59" s="8"/>
      <c r="E59" s="8"/>
      <c r="F59" s="8"/>
      <c r="G59" s="8"/>
      <c r="H59" s="8"/>
      <c r="I59" s="8"/>
      <c r="J59" s="9" t="n">
        <f aca="false">SUM(C59:I59)</f>
        <v>0</v>
      </c>
      <c r="K59" s="10" t="str">
        <f aca="false">IF(B59="","",B59-J59)</f>
        <v/>
      </c>
      <c r="L59" s="11" t="str">
        <f aca="false">IFERROR(K59/B59,"")</f>
        <v/>
      </c>
      <c r="M59" s="8"/>
      <c r="N59" s="8"/>
      <c r="O59" s="8"/>
      <c r="P59" s="8"/>
      <c r="Q59" s="8"/>
      <c r="R59" s="8"/>
      <c r="S59" s="8"/>
      <c r="T59" s="9" t="n">
        <f aca="false">SUM(M59:S59)</f>
        <v>0</v>
      </c>
      <c r="U59" s="8"/>
      <c r="V59" s="8"/>
      <c r="W59" s="8"/>
      <c r="X59" s="8"/>
      <c r="Y59" s="8"/>
      <c r="Z59" s="8"/>
      <c r="AA59" s="8"/>
      <c r="AB59" s="9" t="n">
        <f aca="false">SUM(U59:AA59)</f>
        <v>0</v>
      </c>
      <c r="AC59" s="9" t="n">
        <f aca="false">AB58+J59-T59</f>
        <v>0</v>
      </c>
      <c r="AD59" s="10" t="str">
        <f aca="false">IF(AB59=0,"",AC59-AB59)</f>
        <v/>
      </c>
      <c r="AE59" s="11" t="str">
        <f aca="false">IFERROR(AD59/AC59,"")</f>
        <v/>
      </c>
      <c r="AF59" s="12" t="n">
        <f aca="false">IFERROR((IF(K59="",0,K59)+IF(AD59="",0,AD59))*Assumptions!$B$3,"")</f>
        <v>0</v>
      </c>
      <c r="AG59" s="13"/>
    </row>
    <row r="60" customFormat="false" ht="15" hidden="false" customHeight="false" outlineLevel="0" collapsed="false">
      <c r="A60" s="7" t="n">
        <v>46222</v>
      </c>
      <c r="B60" s="8"/>
      <c r="C60" s="8"/>
      <c r="D60" s="8"/>
      <c r="E60" s="8"/>
      <c r="F60" s="8"/>
      <c r="G60" s="8"/>
      <c r="H60" s="8"/>
      <c r="I60" s="8"/>
      <c r="J60" s="9" t="n">
        <f aca="false">SUM(C60:I60)</f>
        <v>0</v>
      </c>
      <c r="K60" s="10" t="str">
        <f aca="false">IF(B60="","",B60-J60)</f>
        <v/>
      </c>
      <c r="L60" s="11" t="str">
        <f aca="false">IFERROR(K60/B60,"")</f>
        <v/>
      </c>
      <c r="M60" s="8"/>
      <c r="N60" s="8"/>
      <c r="O60" s="8"/>
      <c r="P60" s="8"/>
      <c r="Q60" s="8"/>
      <c r="R60" s="8"/>
      <c r="S60" s="8"/>
      <c r="T60" s="9" t="n">
        <f aca="false">SUM(M60:S60)</f>
        <v>0</v>
      </c>
      <c r="U60" s="8"/>
      <c r="V60" s="8"/>
      <c r="W60" s="8"/>
      <c r="X60" s="8"/>
      <c r="Y60" s="8"/>
      <c r="Z60" s="8"/>
      <c r="AA60" s="8"/>
      <c r="AB60" s="9" t="n">
        <f aca="false">SUM(U60:AA60)</f>
        <v>0</v>
      </c>
      <c r="AC60" s="9" t="n">
        <f aca="false">AB59+J60-T60</f>
        <v>0</v>
      </c>
      <c r="AD60" s="10" t="str">
        <f aca="false">IF(AB60=0,"",AC60-AB60)</f>
        <v/>
      </c>
      <c r="AE60" s="11" t="str">
        <f aca="false">IFERROR(AD60/AC60,"")</f>
        <v/>
      </c>
      <c r="AF60" s="12" t="n">
        <f aca="false">IFERROR((IF(K60="",0,K60)+IF(AD60="",0,AD60))*Assumptions!$B$3,"")</f>
        <v>0</v>
      </c>
      <c r="AG60" s="13"/>
    </row>
    <row r="61" customFormat="false" ht="15" hidden="false" customHeight="false" outlineLevel="0" collapsed="false">
      <c r="A61" s="7" t="n">
        <v>46223</v>
      </c>
      <c r="B61" s="8"/>
      <c r="C61" s="8"/>
      <c r="D61" s="8"/>
      <c r="E61" s="8"/>
      <c r="F61" s="8"/>
      <c r="G61" s="8"/>
      <c r="H61" s="8"/>
      <c r="I61" s="8"/>
      <c r="J61" s="9" t="n">
        <f aca="false">SUM(C61:I61)</f>
        <v>0</v>
      </c>
      <c r="K61" s="10" t="str">
        <f aca="false">IF(B61="","",B61-J61)</f>
        <v/>
      </c>
      <c r="L61" s="11" t="str">
        <f aca="false">IFERROR(K61/B61,"")</f>
        <v/>
      </c>
      <c r="M61" s="8"/>
      <c r="N61" s="8"/>
      <c r="O61" s="8"/>
      <c r="P61" s="8"/>
      <c r="Q61" s="8"/>
      <c r="R61" s="8"/>
      <c r="S61" s="8"/>
      <c r="T61" s="9" t="n">
        <f aca="false">SUM(M61:S61)</f>
        <v>0</v>
      </c>
      <c r="U61" s="8"/>
      <c r="V61" s="8"/>
      <c r="W61" s="8"/>
      <c r="X61" s="8"/>
      <c r="Y61" s="8"/>
      <c r="Z61" s="8"/>
      <c r="AA61" s="8"/>
      <c r="AB61" s="9" t="n">
        <f aca="false">SUM(U61:AA61)</f>
        <v>0</v>
      </c>
      <c r="AC61" s="9" t="n">
        <f aca="false">AB60+J61-T61</f>
        <v>0</v>
      </c>
      <c r="AD61" s="10" t="str">
        <f aca="false">IF(AB61=0,"",AC61-AB61)</f>
        <v/>
      </c>
      <c r="AE61" s="11" t="str">
        <f aca="false">IFERROR(AD61/AC61,"")</f>
        <v/>
      </c>
      <c r="AF61" s="12" t="n">
        <f aca="false">IFERROR((IF(K61="",0,K61)+IF(AD61="",0,AD61))*Assumptions!$B$3,"")</f>
        <v>0</v>
      </c>
      <c r="AG61" s="13"/>
    </row>
    <row r="62" customFormat="false" ht="15" hidden="false" customHeight="false" outlineLevel="0" collapsed="false">
      <c r="A62" s="7" t="n">
        <v>46224</v>
      </c>
      <c r="B62" s="8"/>
      <c r="C62" s="8"/>
      <c r="D62" s="8"/>
      <c r="E62" s="8"/>
      <c r="F62" s="8"/>
      <c r="G62" s="8"/>
      <c r="H62" s="8"/>
      <c r="I62" s="8"/>
      <c r="J62" s="9" t="n">
        <f aca="false">SUM(C62:I62)</f>
        <v>0</v>
      </c>
      <c r="K62" s="10" t="str">
        <f aca="false">IF(B62="","",B62-J62)</f>
        <v/>
      </c>
      <c r="L62" s="11" t="str">
        <f aca="false">IFERROR(K62/B62,"")</f>
        <v/>
      </c>
      <c r="M62" s="8"/>
      <c r="N62" s="8"/>
      <c r="O62" s="8"/>
      <c r="P62" s="8"/>
      <c r="Q62" s="8"/>
      <c r="R62" s="8"/>
      <c r="S62" s="8"/>
      <c r="T62" s="9" t="n">
        <f aca="false">SUM(M62:S62)</f>
        <v>0</v>
      </c>
      <c r="U62" s="8"/>
      <c r="V62" s="8"/>
      <c r="W62" s="8"/>
      <c r="X62" s="8"/>
      <c r="Y62" s="8"/>
      <c r="Z62" s="8"/>
      <c r="AA62" s="8"/>
      <c r="AB62" s="9" t="n">
        <f aca="false">SUM(U62:AA62)</f>
        <v>0</v>
      </c>
      <c r="AC62" s="9" t="n">
        <f aca="false">AB61+J62-T62</f>
        <v>0</v>
      </c>
      <c r="AD62" s="10" t="str">
        <f aca="false">IF(AB62=0,"",AC62-AB62)</f>
        <v/>
      </c>
      <c r="AE62" s="11" t="str">
        <f aca="false">IFERROR(AD62/AC62,"")</f>
        <v/>
      </c>
      <c r="AF62" s="12" t="n">
        <f aca="false">IFERROR((IF(K62="",0,K62)+IF(AD62="",0,AD62))*Assumptions!$B$3,"")</f>
        <v>0</v>
      </c>
      <c r="AG62" s="13"/>
    </row>
    <row r="63" customFormat="false" ht="15" hidden="false" customHeight="false" outlineLevel="0" collapsed="false">
      <c r="A63" s="7" t="n">
        <v>46225</v>
      </c>
      <c r="B63" s="8"/>
      <c r="C63" s="8"/>
      <c r="D63" s="8"/>
      <c r="E63" s="8"/>
      <c r="F63" s="8"/>
      <c r="G63" s="8"/>
      <c r="H63" s="8"/>
      <c r="I63" s="8"/>
      <c r="J63" s="9" t="n">
        <f aca="false">SUM(C63:I63)</f>
        <v>0</v>
      </c>
      <c r="K63" s="10" t="str">
        <f aca="false">IF(B63="","",B63-J63)</f>
        <v/>
      </c>
      <c r="L63" s="11" t="str">
        <f aca="false">IFERROR(K63/B63,"")</f>
        <v/>
      </c>
      <c r="M63" s="8"/>
      <c r="N63" s="8"/>
      <c r="O63" s="8"/>
      <c r="P63" s="8"/>
      <c r="Q63" s="8"/>
      <c r="R63" s="8"/>
      <c r="S63" s="8"/>
      <c r="T63" s="9" t="n">
        <f aca="false">SUM(M63:S63)</f>
        <v>0</v>
      </c>
      <c r="U63" s="8"/>
      <c r="V63" s="8"/>
      <c r="W63" s="8"/>
      <c r="X63" s="8"/>
      <c r="Y63" s="8"/>
      <c r="Z63" s="8"/>
      <c r="AA63" s="8"/>
      <c r="AB63" s="9" t="n">
        <f aca="false">SUM(U63:AA63)</f>
        <v>0</v>
      </c>
      <c r="AC63" s="9" t="n">
        <f aca="false">AB62+J63-T63</f>
        <v>0</v>
      </c>
      <c r="AD63" s="10" t="str">
        <f aca="false">IF(AB63=0,"",AC63-AB63)</f>
        <v/>
      </c>
      <c r="AE63" s="11" t="str">
        <f aca="false">IFERROR(AD63/AC63,"")</f>
        <v/>
      </c>
      <c r="AF63" s="12" t="n">
        <f aca="false">IFERROR((IF(K63="",0,K63)+IF(AD63="",0,AD63))*Assumptions!$B$3,"")</f>
        <v>0</v>
      </c>
      <c r="AG63" s="13"/>
    </row>
    <row r="64" customFormat="false" ht="15" hidden="false" customHeight="false" outlineLevel="0" collapsed="false">
      <c r="A64" s="7" t="n">
        <v>46226</v>
      </c>
      <c r="B64" s="8"/>
      <c r="C64" s="8"/>
      <c r="D64" s="8"/>
      <c r="E64" s="8"/>
      <c r="F64" s="8"/>
      <c r="G64" s="8"/>
      <c r="H64" s="8"/>
      <c r="I64" s="8"/>
      <c r="J64" s="9" t="n">
        <f aca="false">SUM(C64:I64)</f>
        <v>0</v>
      </c>
      <c r="K64" s="10" t="str">
        <f aca="false">IF(B64="","",B64-J64)</f>
        <v/>
      </c>
      <c r="L64" s="11" t="str">
        <f aca="false">IFERROR(K64/B64,"")</f>
        <v/>
      </c>
      <c r="M64" s="8"/>
      <c r="N64" s="8"/>
      <c r="O64" s="8"/>
      <c r="P64" s="8"/>
      <c r="Q64" s="8"/>
      <c r="R64" s="8"/>
      <c r="S64" s="8"/>
      <c r="T64" s="9" t="n">
        <f aca="false">SUM(M64:S64)</f>
        <v>0</v>
      </c>
      <c r="U64" s="8"/>
      <c r="V64" s="8"/>
      <c r="W64" s="8"/>
      <c r="X64" s="8"/>
      <c r="Y64" s="8"/>
      <c r="Z64" s="8"/>
      <c r="AA64" s="8"/>
      <c r="AB64" s="9" t="n">
        <f aca="false">SUM(U64:AA64)</f>
        <v>0</v>
      </c>
      <c r="AC64" s="9" t="n">
        <f aca="false">AB63+J64-T64</f>
        <v>0</v>
      </c>
      <c r="AD64" s="10" t="str">
        <f aca="false">IF(AB64=0,"",AC64-AB64)</f>
        <v/>
      </c>
      <c r="AE64" s="11" t="str">
        <f aca="false">IFERROR(AD64/AC64,"")</f>
        <v/>
      </c>
      <c r="AF64" s="12" t="n">
        <f aca="false">IFERROR((IF(K64="",0,K64)+IF(AD64="",0,AD64))*Assumptions!$B$3,"")</f>
        <v>0</v>
      </c>
      <c r="AG64" s="13"/>
    </row>
  </sheetData>
  <mergeCells count="4">
    <mergeCell ref="A1:AS1"/>
    <mergeCell ref="C3:I3"/>
    <mergeCell ref="M3:S3"/>
    <mergeCell ref="U3:AA3"/>
  </mergeCells>
  <conditionalFormatting sqref="AD5:AD64">
    <cfRule type="colorScale" priority="2">
      <colorScale>
        <cfvo type="num" val="-200"/>
        <cfvo type="num" val="0"/>
        <cfvo type="num" val="200"/>
        <color rgb="FF1B5E20"/>
        <color rgb="FFFFFFFF"/>
        <color rgb="FFB71C1C"/>
      </colorScale>
    </cfRule>
  </conditionalFormatting>
  <conditionalFormatting sqref="L5:L64">
    <cfRule type="colorScale" priority="3">
      <colorScale>
        <cfvo type="num" val="0"/>
        <cfvo type="num" val="0.05"/>
        <color rgb="FFFFFFFF"/>
        <color rgb="FFB71C1C"/>
      </colorScale>
    </cfRule>
  </conditionalFormatting>
  <conditionalFormatting sqref="AE5:AE64">
    <cfRule type="colorScale" priority="4">
      <colorScale>
        <cfvo type="num" val="0"/>
        <cfvo type="num" val="0.03"/>
        <color rgb="FFFFFFFF"/>
        <color rgb="FFB71C1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21.75" hidden="false" customHeight="true" outlineLevel="0" collapsed="false">
      <c r="A1" s="1" t="s">
        <v>54</v>
      </c>
      <c r="B1" s="1"/>
      <c r="C1" s="1"/>
    </row>
    <row r="2" customFormat="false" ht="15" hidden="false" customHeight="false" outlineLevel="0" collapsed="false">
      <c r="A2" s="14" t="s">
        <v>55</v>
      </c>
      <c r="B2" s="14"/>
      <c r="C2" s="14"/>
    </row>
    <row r="3" customFormat="false" ht="15" hidden="false" customHeight="false" outlineLevel="0" collapsed="false">
      <c r="A3" s="15" t="s">
        <v>56</v>
      </c>
      <c r="B3" s="16" t="n">
        <v>28</v>
      </c>
      <c r="C3" s="17" t="s">
        <v>57</v>
      </c>
    </row>
    <row r="4" customFormat="false" ht="15" hidden="false" customHeight="false" outlineLevel="0" collapsed="false">
      <c r="A4" s="14" t="s">
        <v>58</v>
      </c>
      <c r="B4" s="14"/>
      <c r="C4" s="14"/>
    </row>
    <row r="5" customFormat="false" ht="15" hidden="false" customHeight="false" outlineLevel="0" collapsed="false">
      <c r="A5" s="15" t="s">
        <v>59</v>
      </c>
      <c r="B5" s="18" t="n">
        <v>0</v>
      </c>
      <c r="C5" s="17" t="s">
        <v>60</v>
      </c>
    </row>
    <row r="6" customFormat="false" ht="15" hidden="false" customHeight="false" outlineLevel="0" collapsed="false">
      <c r="A6" s="14" t="s">
        <v>61</v>
      </c>
      <c r="B6" s="14"/>
      <c r="C6" s="14"/>
    </row>
    <row r="7" customFormat="false" ht="15" hidden="false" customHeight="false" outlineLevel="0" collapsed="false">
      <c r="A7" s="15" t="s">
        <v>62</v>
      </c>
      <c r="B7" s="19" t="n">
        <v>0.02</v>
      </c>
      <c r="C7" s="17" t="s">
        <v>63</v>
      </c>
    </row>
    <row r="8" customFormat="false" ht="15" hidden="false" customHeight="false" outlineLevel="0" collapsed="false">
      <c r="A8" s="15" t="s">
        <v>64</v>
      </c>
      <c r="B8" s="19" t="n">
        <v>0.005</v>
      </c>
      <c r="C8" s="17" t="s">
        <v>65</v>
      </c>
    </row>
  </sheetData>
  <mergeCells count="4">
    <mergeCell ref="A1:C1"/>
    <mergeCell ref="A2:C2"/>
    <mergeCell ref="A4:C4"/>
    <mergeCell ref="A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16"/>
  </cols>
  <sheetData>
    <row r="1" customFormat="false" ht="21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4" t="s">
        <v>67</v>
      </c>
      <c r="B3" s="4" t="s">
        <v>17</v>
      </c>
      <c r="C3" s="4" t="s">
        <v>68</v>
      </c>
      <c r="D3" s="4" t="s">
        <v>20</v>
      </c>
      <c r="E3" s="4" t="s">
        <v>69</v>
      </c>
      <c r="F3" s="4" t="s">
        <v>70</v>
      </c>
      <c r="G3" s="4" t="s">
        <v>71</v>
      </c>
      <c r="H3" s="4" t="s">
        <v>72</v>
      </c>
      <c r="I3" s="4" t="s">
        <v>73</v>
      </c>
    </row>
    <row r="4" customFormat="false" ht="15" hidden="false" customHeight="false" outlineLevel="0" collapsed="false">
      <c r="A4" s="7" t="n">
        <v>46167</v>
      </c>
      <c r="B4" s="20" t="n">
        <f aca="false">SUMIFS('Daily Log'!$B$5:$B$64,'Daily Log'!$A$5:$A$64,"&gt;="&amp;A4,'Daily Log'!$A$5:$A$64,"&lt;="&amp;A4+6)</f>
        <v>0</v>
      </c>
      <c r="C4" s="20" t="n">
        <f aca="false">SUMIFS('Daily Log'!$J$5:$J$64,'Daily Log'!$A$5:$A$64,"&gt;="&amp;A4,'Daily Log'!$A$5:$A$64,"&lt;="&amp;A4+6)</f>
        <v>0</v>
      </c>
      <c r="D4" s="20" t="n">
        <f aca="false">SUMIFS('Daily Log'!$K$5:$K$64,'Daily Log'!$A$5:$A$64,"&gt;="&amp;A4,'Daily Log'!$A$5:$A$64,"&lt;="&amp;A4+6)</f>
        <v>0</v>
      </c>
      <c r="E4" s="21" t="str">
        <f aca="false">IFERROR(D4/B4,"")</f>
        <v/>
      </c>
      <c r="F4" s="20" t="n">
        <f aca="false">SUMIFS('Daily Log'!$T$5:$T$64,'Daily Log'!$A$5:$A$64,"&gt;="&amp;A4,'Daily Log'!$A$5:$A$64,"&lt;="&amp;A4+6)</f>
        <v>0</v>
      </c>
      <c r="G4" s="20" t="n">
        <f aca="false">SUMIFS('Daily Log'!$AD$5:$AD$64,'Daily Log'!$A$5:$A$64,"&gt;="&amp;A4,'Daily Log'!$A$5:$A$64,"&lt;="&amp;A4+6)</f>
        <v>0</v>
      </c>
      <c r="H4" s="21" t="str">
        <f aca="false">IFERROR(G4/C4,"")</f>
        <v/>
      </c>
      <c r="I4" s="22" t="n">
        <f aca="false">IFERROR((IF(D4="",0,D4)+IF(G4="",0,G4))*Assumptions!$B$3,"")</f>
        <v>0</v>
      </c>
    </row>
    <row r="5" customFormat="false" ht="15" hidden="false" customHeight="false" outlineLevel="0" collapsed="false">
      <c r="A5" s="7" t="n">
        <v>46174</v>
      </c>
      <c r="B5" s="20" t="n">
        <f aca="false">SUMIFS('Daily Log'!$B$5:$B$64,'Daily Log'!$A$5:$A$64,"&gt;="&amp;A5,'Daily Log'!$A$5:$A$64,"&lt;="&amp;A5+6)</f>
        <v>0</v>
      </c>
      <c r="C5" s="20" t="n">
        <f aca="false">SUMIFS('Daily Log'!$J$5:$J$64,'Daily Log'!$A$5:$A$64,"&gt;="&amp;A5,'Daily Log'!$A$5:$A$64,"&lt;="&amp;A5+6)</f>
        <v>0</v>
      </c>
      <c r="D5" s="20" t="n">
        <f aca="false">SUMIFS('Daily Log'!$K$5:$K$64,'Daily Log'!$A$5:$A$64,"&gt;="&amp;A5,'Daily Log'!$A$5:$A$64,"&lt;="&amp;A5+6)</f>
        <v>0</v>
      </c>
      <c r="E5" s="21" t="str">
        <f aca="false">IFERROR(D5/B5,"")</f>
        <v/>
      </c>
      <c r="F5" s="20" t="n">
        <f aca="false">SUMIFS('Daily Log'!$T$5:$T$64,'Daily Log'!$A$5:$A$64,"&gt;="&amp;A5,'Daily Log'!$A$5:$A$64,"&lt;="&amp;A5+6)</f>
        <v>0</v>
      </c>
      <c r="G5" s="20" t="n">
        <f aca="false">SUMIFS('Daily Log'!$AD$5:$AD$64,'Daily Log'!$A$5:$A$64,"&gt;="&amp;A5,'Daily Log'!$A$5:$A$64,"&lt;="&amp;A5+6)</f>
        <v>0</v>
      </c>
      <c r="H5" s="21" t="str">
        <f aca="false">IFERROR(G5/C5,"")</f>
        <v/>
      </c>
      <c r="I5" s="22" t="n">
        <f aca="false">IFERROR((IF(D5="",0,D5)+IF(G5="",0,G5))*Assumptions!$B$3,"")</f>
        <v>0</v>
      </c>
    </row>
    <row r="6" customFormat="false" ht="15" hidden="false" customHeight="false" outlineLevel="0" collapsed="false">
      <c r="A6" s="7" t="n">
        <v>46181</v>
      </c>
      <c r="B6" s="20" t="n">
        <f aca="false">SUMIFS('Daily Log'!$B$5:$B$64,'Daily Log'!$A$5:$A$64,"&gt;="&amp;A6,'Daily Log'!$A$5:$A$64,"&lt;="&amp;A6+6)</f>
        <v>0</v>
      </c>
      <c r="C6" s="20" t="n">
        <f aca="false">SUMIFS('Daily Log'!$J$5:$J$64,'Daily Log'!$A$5:$A$64,"&gt;="&amp;A6,'Daily Log'!$A$5:$A$64,"&lt;="&amp;A6+6)</f>
        <v>0</v>
      </c>
      <c r="D6" s="20" t="n">
        <f aca="false">SUMIFS('Daily Log'!$K$5:$K$64,'Daily Log'!$A$5:$A$64,"&gt;="&amp;A6,'Daily Log'!$A$5:$A$64,"&lt;="&amp;A6+6)</f>
        <v>0</v>
      </c>
      <c r="E6" s="21" t="str">
        <f aca="false">IFERROR(D6/B6,"")</f>
        <v/>
      </c>
      <c r="F6" s="20" t="n">
        <f aca="false">SUMIFS('Daily Log'!$T$5:$T$64,'Daily Log'!$A$5:$A$64,"&gt;="&amp;A6,'Daily Log'!$A$5:$A$64,"&lt;="&amp;A6+6)</f>
        <v>0</v>
      </c>
      <c r="G6" s="20" t="n">
        <f aca="false">SUMIFS('Daily Log'!$AD$5:$AD$64,'Daily Log'!$A$5:$A$64,"&gt;="&amp;A6,'Daily Log'!$A$5:$A$64,"&lt;="&amp;A6+6)</f>
        <v>0</v>
      </c>
      <c r="H6" s="21" t="str">
        <f aca="false">IFERROR(G6/C6,"")</f>
        <v/>
      </c>
      <c r="I6" s="22" t="n">
        <f aca="false">IFERROR((IF(D6="",0,D6)+IF(G6="",0,G6))*Assumptions!$B$3,"")</f>
        <v>0</v>
      </c>
    </row>
    <row r="7" customFormat="false" ht="15" hidden="false" customHeight="false" outlineLevel="0" collapsed="false">
      <c r="A7" s="7" t="n">
        <v>46188</v>
      </c>
      <c r="B7" s="20" t="n">
        <f aca="false">SUMIFS('Daily Log'!$B$5:$B$64,'Daily Log'!$A$5:$A$64,"&gt;="&amp;A7,'Daily Log'!$A$5:$A$64,"&lt;="&amp;A7+6)</f>
        <v>0</v>
      </c>
      <c r="C7" s="20" t="n">
        <f aca="false">SUMIFS('Daily Log'!$J$5:$J$64,'Daily Log'!$A$5:$A$64,"&gt;="&amp;A7,'Daily Log'!$A$5:$A$64,"&lt;="&amp;A7+6)</f>
        <v>0</v>
      </c>
      <c r="D7" s="20" t="n">
        <f aca="false">SUMIFS('Daily Log'!$K$5:$K$64,'Daily Log'!$A$5:$A$64,"&gt;="&amp;A7,'Daily Log'!$A$5:$A$64,"&lt;="&amp;A7+6)</f>
        <v>0</v>
      </c>
      <c r="E7" s="21" t="str">
        <f aca="false">IFERROR(D7/B7,"")</f>
        <v/>
      </c>
      <c r="F7" s="20" t="n">
        <f aca="false">SUMIFS('Daily Log'!$T$5:$T$64,'Daily Log'!$A$5:$A$64,"&gt;="&amp;A7,'Daily Log'!$A$5:$A$64,"&lt;="&amp;A7+6)</f>
        <v>0</v>
      </c>
      <c r="G7" s="20" t="n">
        <f aca="false">SUMIFS('Daily Log'!$AD$5:$AD$64,'Daily Log'!$A$5:$A$64,"&gt;="&amp;A7,'Daily Log'!$A$5:$A$64,"&lt;="&amp;A7+6)</f>
        <v>0</v>
      </c>
      <c r="H7" s="21" t="str">
        <f aca="false">IFERROR(G7/C7,"")</f>
        <v/>
      </c>
      <c r="I7" s="22" t="n">
        <f aca="false">IFERROR((IF(D7="",0,D7)+IF(G7="",0,G7))*Assumptions!$B$3,"")</f>
        <v>0</v>
      </c>
    </row>
    <row r="8" customFormat="false" ht="15" hidden="false" customHeight="false" outlineLevel="0" collapsed="false">
      <c r="A8" s="7" t="n">
        <v>46195</v>
      </c>
      <c r="B8" s="20" t="n">
        <f aca="false">SUMIFS('Daily Log'!$B$5:$B$64,'Daily Log'!$A$5:$A$64,"&gt;="&amp;A8,'Daily Log'!$A$5:$A$64,"&lt;="&amp;A8+6)</f>
        <v>0</v>
      </c>
      <c r="C8" s="20" t="n">
        <f aca="false">SUMIFS('Daily Log'!$J$5:$J$64,'Daily Log'!$A$5:$A$64,"&gt;="&amp;A8,'Daily Log'!$A$5:$A$64,"&lt;="&amp;A8+6)</f>
        <v>0</v>
      </c>
      <c r="D8" s="20" t="n">
        <f aca="false">SUMIFS('Daily Log'!$K$5:$K$64,'Daily Log'!$A$5:$A$64,"&gt;="&amp;A8,'Daily Log'!$A$5:$A$64,"&lt;="&amp;A8+6)</f>
        <v>0</v>
      </c>
      <c r="E8" s="21" t="str">
        <f aca="false">IFERROR(D8/B8,"")</f>
        <v/>
      </c>
      <c r="F8" s="20" t="n">
        <f aca="false">SUMIFS('Daily Log'!$T$5:$T$64,'Daily Log'!$A$5:$A$64,"&gt;="&amp;A8,'Daily Log'!$A$5:$A$64,"&lt;="&amp;A8+6)</f>
        <v>0</v>
      </c>
      <c r="G8" s="20" t="n">
        <f aca="false">SUMIFS('Daily Log'!$AD$5:$AD$64,'Daily Log'!$A$5:$A$64,"&gt;="&amp;A8,'Daily Log'!$A$5:$A$64,"&lt;="&amp;A8+6)</f>
        <v>0</v>
      </c>
      <c r="H8" s="21" t="str">
        <f aca="false">IFERROR(G8/C8,"")</f>
        <v/>
      </c>
      <c r="I8" s="22" t="n">
        <f aca="false">IFERROR((IF(D8="",0,D8)+IF(G8="",0,G8))*Assumptions!$B$3,"")</f>
        <v>0</v>
      </c>
    </row>
    <row r="9" customFormat="false" ht="15" hidden="false" customHeight="false" outlineLevel="0" collapsed="false">
      <c r="A9" s="7" t="n">
        <v>46202</v>
      </c>
      <c r="B9" s="20" t="n">
        <f aca="false">SUMIFS('Daily Log'!$B$5:$B$64,'Daily Log'!$A$5:$A$64,"&gt;="&amp;A9,'Daily Log'!$A$5:$A$64,"&lt;="&amp;A9+6)</f>
        <v>0</v>
      </c>
      <c r="C9" s="20" t="n">
        <f aca="false">SUMIFS('Daily Log'!$J$5:$J$64,'Daily Log'!$A$5:$A$64,"&gt;="&amp;A9,'Daily Log'!$A$5:$A$64,"&lt;="&amp;A9+6)</f>
        <v>0</v>
      </c>
      <c r="D9" s="20" t="n">
        <f aca="false">SUMIFS('Daily Log'!$K$5:$K$64,'Daily Log'!$A$5:$A$64,"&gt;="&amp;A9,'Daily Log'!$A$5:$A$64,"&lt;="&amp;A9+6)</f>
        <v>0</v>
      </c>
      <c r="E9" s="21" t="str">
        <f aca="false">IFERROR(D9/B9,"")</f>
        <v/>
      </c>
      <c r="F9" s="20" t="n">
        <f aca="false">SUMIFS('Daily Log'!$T$5:$T$64,'Daily Log'!$A$5:$A$64,"&gt;="&amp;A9,'Daily Log'!$A$5:$A$64,"&lt;="&amp;A9+6)</f>
        <v>0</v>
      </c>
      <c r="G9" s="20" t="n">
        <f aca="false">SUMIFS('Daily Log'!$AD$5:$AD$64,'Daily Log'!$A$5:$A$64,"&gt;="&amp;A9,'Daily Log'!$A$5:$A$64,"&lt;="&amp;A9+6)</f>
        <v>0</v>
      </c>
      <c r="H9" s="21" t="str">
        <f aca="false">IFERROR(G9/C9,"")</f>
        <v/>
      </c>
      <c r="I9" s="22" t="n">
        <f aca="false">IFERROR((IF(D9="",0,D9)+IF(G9="",0,G9))*Assumptions!$B$3,"")</f>
        <v>0</v>
      </c>
    </row>
    <row r="10" customFormat="false" ht="15" hidden="false" customHeight="false" outlineLevel="0" collapsed="false">
      <c r="A10" s="7" t="n">
        <v>46209</v>
      </c>
      <c r="B10" s="20" t="n">
        <f aca="false">SUMIFS('Daily Log'!$B$5:$B$64,'Daily Log'!$A$5:$A$64,"&gt;="&amp;A10,'Daily Log'!$A$5:$A$64,"&lt;="&amp;A10+6)</f>
        <v>0</v>
      </c>
      <c r="C10" s="20" t="n">
        <f aca="false">SUMIFS('Daily Log'!$J$5:$J$64,'Daily Log'!$A$5:$A$64,"&gt;="&amp;A10,'Daily Log'!$A$5:$A$64,"&lt;="&amp;A10+6)</f>
        <v>0</v>
      </c>
      <c r="D10" s="20" t="n">
        <f aca="false">SUMIFS('Daily Log'!$K$5:$K$64,'Daily Log'!$A$5:$A$64,"&gt;="&amp;A10,'Daily Log'!$A$5:$A$64,"&lt;="&amp;A10+6)</f>
        <v>0</v>
      </c>
      <c r="E10" s="21" t="str">
        <f aca="false">IFERROR(D10/B10,"")</f>
        <v/>
      </c>
      <c r="F10" s="20" t="n">
        <f aca="false">SUMIFS('Daily Log'!$T$5:$T$64,'Daily Log'!$A$5:$A$64,"&gt;="&amp;A10,'Daily Log'!$A$5:$A$64,"&lt;="&amp;A10+6)</f>
        <v>0</v>
      </c>
      <c r="G10" s="20" t="n">
        <f aca="false">SUMIFS('Daily Log'!$AD$5:$AD$64,'Daily Log'!$A$5:$A$64,"&gt;="&amp;A10,'Daily Log'!$A$5:$A$64,"&lt;="&amp;A10+6)</f>
        <v>0</v>
      </c>
      <c r="H10" s="21" t="str">
        <f aca="false">IFERROR(G10/C10,"")</f>
        <v/>
      </c>
      <c r="I10" s="22" t="n">
        <f aca="false">IFERROR((IF(D10="",0,D10)+IF(G10="",0,G10))*Assumptions!$B$3,"")</f>
        <v>0</v>
      </c>
    </row>
    <row r="11" customFormat="false" ht="15" hidden="false" customHeight="false" outlineLevel="0" collapsed="false">
      <c r="A11" s="7" t="n">
        <v>46216</v>
      </c>
      <c r="B11" s="20" t="n">
        <f aca="false">SUMIFS('Daily Log'!$B$5:$B$64,'Daily Log'!$A$5:$A$64,"&gt;="&amp;A11,'Daily Log'!$A$5:$A$64,"&lt;="&amp;A11+6)</f>
        <v>0</v>
      </c>
      <c r="C11" s="20" t="n">
        <f aca="false">SUMIFS('Daily Log'!$J$5:$J$64,'Daily Log'!$A$5:$A$64,"&gt;="&amp;A11,'Daily Log'!$A$5:$A$64,"&lt;="&amp;A11+6)</f>
        <v>0</v>
      </c>
      <c r="D11" s="20" t="n">
        <f aca="false">SUMIFS('Daily Log'!$K$5:$K$64,'Daily Log'!$A$5:$A$64,"&gt;="&amp;A11,'Daily Log'!$A$5:$A$64,"&lt;="&amp;A11+6)</f>
        <v>0</v>
      </c>
      <c r="E11" s="21" t="str">
        <f aca="false">IFERROR(D11/B11,"")</f>
        <v/>
      </c>
      <c r="F11" s="20" t="n">
        <f aca="false">SUMIFS('Daily Log'!$T$5:$T$64,'Daily Log'!$A$5:$A$64,"&gt;="&amp;A11,'Daily Log'!$A$5:$A$64,"&lt;="&amp;A11+6)</f>
        <v>0</v>
      </c>
      <c r="G11" s="20" t="n">
        <f aca="false">SUMIFS('Daily Log'!$AD$5:$AD$64,'Daily Log'!$A$5:$A$64,"&gt;="&amp;A11,'Daily Log'!$A$5:$A$64,"&lt;="&amp;A11+6)</f>
        <v>0</v>
      </c>
      <c r="H11" s="21" t="str">
        <f aca="false">IFERROR(G11/C11,"")</f>
        <v/>
      </c>
      <c r="I11" s="22" t="n">
        <f aca="false">IFERROR((IF(D11="",0,D11)+IF(G11="",0,G11))*Assumptions!$B$3,"")</f>
        <v>0</v>
      </c>
    </row>
    <row r="12" customFormat="false" ht="15" hidden="false" customHeight="false" outlineLevel="0" collapsed="false">
      <c r="A12" s="7" t="n">
        <v>46223</v>
      </c>
      <c r="B12" s="20" t="n">
        <f aca="false">SUMIFS('Daily Log'!$B$5:$B$64,'Daily Log'!$A$5:$A$64,"&gt;="&amp;A12,'Daily Log'!$A$5:$A$64,"&lt;="&amp;A12+6)</f>
        <v>0</v>
      </c>
      <c r="C12" s="20" t="n">
        <f aca="false">SUMIFS('Daily Log'!$J$5:$J$64,'Daily Log'!$A$5:$A$64,"&gt;="&amp;A12,'Daily Log'!$A$5:$A$64,"&lt;="&amp;A12+6)</f>
        <v>0</v>
      </c>
      <c r="D12" s="20" t="n">
        <f aca="false">SUMIFS('Daily Log'!$K$5:$K$64,'Daily Log'!$A$5:$A$64,"&gt;="&amp;A12,'Daily Log'!$A$5:$A$64,"&lt;="&amp;A12+6)</f>
        <v>0</v>
      </c>
      <c r="E12" s="21" t="str">
        <f aca="false">IFERROR(D12/B12,"")</f>
        <v/>
      </c>
      <c r="F12" s="20" t="n">
        <f aca="false">SUMIFS('Daily Log'!$T$5:$T$64,'Daily Log'!$A$5:$A$64,"&gt;="&amp;A12,'Daily Log'!$A$5:$A$64,"&lt;="&amp;A12+6)</f>
        <v>0</v>
      </c>
      <c r="G12" s="20" t="n">
        <f aca="false">SUMIFS('Daily Log'!$AD$5:$AD$64,'Daily Log'!$A$5:$A$64,"&gt;="&amp;A12,'Daily Log'!$A$5:$A$64,"&lt;="&amp;A12+6)</f>
        <v>0</v>
      </c>
      <c r="H12" s="21" t="str">
        <f aca="false">IFERROR(G12/C12,"")</f>
        <v/>
      </c>
      <c r="I12" s="22" t="n">
        <f aca="false">IFERROR((IF(D12="",0,D12)+IF(G12="",0,G12))*Assumptions!$B$3,"")</f>
        <v>0</v>
      </c>
    </row>
    <row r="13" customFormat="false" ht="15" hidden="false" customHeight="false" outlineLevel="0" collapsed="false">
      <c r="A13" s="7" t="n">
        <v>46230</v>
      </c>
      <c r="B13" s="20" t="n">
        <f aca="false">SUMIFS('Daily Log'!$B$5:$B$64,'Daily Log'!$A$5:$A$64,"&gt;="&amp;A13,'Daily Log'!$A$5:$A$64,"&lt;="&amp;A13+6)</f>
        <v>0</v>
      </c>
      <c r="C13" s="20" t="n">
        <f aca="false">SUMIFS('Daily Log'!$J$5:$J$64,'Daily Log'!$A$5:$A$64,"&gt;="&amp;A13,'Daily Log'!$A$5:$A$64,"&lt;="&amp;A13+6)</f>
        <v>0</v>
      </c>
      <c r="D13" s="20" t="n">
        <f aca="false">SUMIFS('Daily Log'!$K$5:$K$64,'Daily Log'!$A$5:$A$64,"&gt;="&amp;A13,'Daily Log'!$A$5:$A$64,"&lt;="&amp;A13+6)</f>
        <v>0</v>
      </c>
      <c r="E13" s="21" t="str">
        <f aca="false">IFERROR(D13/B13,"")</f>
        <v/>
      </c>
      <c r="F13" s="20" t="n">
        <f aca="false">SUMIFS('Daily Log'!$T$5:$T$64,'Daily Log'!$A$5:$A$64,"&gt;="&amp;A13,'Daily Log'!$A$5:$A$64,"&lt;="&amp;A13+6)</f>
        <v>0</v>
      </c>
      <c r="G13" s="20" t="n">
        <f aca="false">SUMIFS('Daily Log'!$AD$5:$AD$64,'Daily Log'!$A$5:$A$64,"&gt;="&amp;A13,'Daily Log'!$A$5:$A$64,"&lt;="&amp;A13+6)</f>
        <v>0</v>
      </c>
      <c r="H13" s="21" t="str">
        <f aca="false">IFERROR(G13/C13,"")</f>
        <v/>
      </c>
      <c r="I13" s="22" t="n">
        <f aca="false">IFERROR((IF(D13="",0,D13)+IF(G13="",0,G13))*Assumptions!$B$3,"")</f>
        <v>0</v>
      </c>
    </row>
    <row r="14" customFormat="false" ht="15" hidden="false" customHeight="false" outlineLevel="0" collapsed="false">
      <c r="A14" s="7" t="n">
        <v>46237</v>
      </c>
      <c r="B14" s="20" t="n">
        <f aca="false">SUMIFS('Daily Log'!$B$5:$B$64,'Daily Log'!$A$5:$A$64,"&gt;="&amp;A14,'Daily Log'!$A$5:$A$64,"&lt;="&amp;A14+6)</f>
        <v>0</v>
      </c>
      <c r="C14" s="20" t="n">
        <f aca="false">SUMIFS('Daily Log'!$J$5:$J$64,'Daily Log'!$A$5:$A$64,"&gt;="&amp;A14,'Daily Log'!$A$5:$A$64,"&lt;="&amp;A14+6)</f>
        <v>0</v>
      </c>
      <c r="D14" s="20" t="n">
        <f aca="false">SUMIFS('Daily Log'!$K$5:$K$64,'Daily Log'!$A$5:$A$64,"&gt;="&amp;A14,'Daily Log'!$A$5:$A$64,"&lt;="&amp;A14+6)</f>
        <v>0</v>
      </c>
      <c r="E14" s="21" t="str">
        <f aca="false">IFERROR(D14/B14,"")</f>
        <v/>
      </c>
      <c r="F14" s="20" t="n">
        <f aca="false">SUMIFS('Daily Log'!$T$5:$T$64,'Daily Log'!$A$5:$A$64,"&gt;="&amp;A14,'Daily Log'!$A$5:$A$64,"&lt;="&amp;A14+6)</f>
        <v>0</v>
      </c>
      <c r="G14" s="20" t="n">
        <f aca="false">SUMIFS('Daily Log'!$AD$5:$AD$64,'Daily Log'!$A$5:$A$64,"&gt;="&amp;A14,'Daily Log'!$A$5:$A$64,"&lt;="&amp;A14+6)</f>
        <v>0</v>
      </c>
      <c r="H14" s="21" t="str">
        <f aca="false">IFERROR(G14/C14,"")</f>
        <v/>
      </c>
      <c r="I14" s="22" t="n">
        <f aca="false">IFERROR((IF(D14="",0,D14)+IF(G14="",0,G14))*Assumptions!$B$3,"")</f>
        <v>0</v>
      </c>
    </row>
    <row r="15" customFormat="false" ht="15" hidden="false" customHeight="false" outlineLevel="0" collapsed="false">
      <c r="A15" s="7" t="n">
        <v>46244</v>
      </c>
      <c r="B15" s="20" t="n">
        <f aca="false">SUMIFS('Daily Log'!$B$5:$B$64,'Daily Log'!$A$5:$A$64,"&gt;="&amp;A15,'Daily Log'!$A$5:$A$64,"&lt;="&amp;A15+6)</f>
        <v>0</v>
      </c>
      <c r="C15" s="20" t="n">
        <f aca="false">SUMIFS('Daily Log'!$J$5:$J$64,'Daily Log'!$A$5:$A$64,"&gt;="&amp;A15,'Daily Log'!$A$5:$A$64,"&lt;="&amp;A15+6)</f>
        <v>0</v>
      </c>
      <c r="D15" s="20" t="n">
        <f aca="false">SUMIFS('Daily Log'!$K$5:$K$64,'Daily Log'!$A$5:$A$64,"&gt;="&amp;A15,'Daily Log'!$A$5:$A$64,"&lt;="&amp;A15+6)</f>
        <v>0</v>
      </c>
      <c r="E15" s="21" t="str">
        <f aca="false">IFERROR(D15/B15,"")</f>
        <v/>
      </c>
      <c r="F15" s="20" t="n">
        <f aca="false">SUMIFS('Daily Log'!$T$5:$T$64,'Daily Log'!$A$5:$A$64,"&gt;="&amp;A15,'Daily Log'!$A$5:$A$64,"&lt;="&amp;A15+6)</f>
        <v>0</v>
      </c>
      <c r="G15" s="20" t="n">
        <f aca="false">SUMIFS('Daily Log'!$AD$5:$AD$64,'Daily Log'!$A$5:$A$64,"&gt;="&amp;A15,'Daily Log'!$A$5:$A$64,"&lt;="&amp;A15+6)</f>
        <v>0</v>
      </c>
      <c r="H15" s="21" t="str">
        <f aca="false">IFERROR(G15/C15,"")</f>
        <v/>
      </c>
      <c r="I15" s="22" t="n">
        <f aca="false">IFERROR((IF(D15="",0,D15)+IF(G15="",0,G15))*Assumptions!$B$3,"")</f>
        <v>0</v>
      </c>
    </row>
    <row r="16" customFormat="false" ht="15" hidden="false" customHeight="false" outlineLevel="0" collapsed="false">
      <c r="A16" s="23" t="s">
        <v>74</v>
      </c>
      <c r="B16" s="24" t="n">
        <f aca="false">SUM(B4:B15)</f>
        <v>0</v>
      </c>
      <c r="C16" s="24" t="n">
        <f aca="false">SUM(C4:C15)</f>
        <v>0</v>
      </c>
      <c r="D16" s="24" t="n">
        <f aca="false">SUM(D4:D15)</f>
        <v>0</v>
      </c>
      <c r="E16" s="25" t="str">
        <f aca="false">IFERROR(D16/B16,"")</f>
        <v/>
      </c>
      <c r="F16" s="24" t="n">
        <f aca="false">SUM(F4:F15)</f>
        <v>0</v>
      </c>
      <c r="G16" s="24" t="n">
        <f aca="false">SUM(G4:G15)</f>
        <v>0</v>
      </c>
      <c r="H16" s="25" t="str">
        <f aca="false">IFERROR(G16/C16,"")</f>
        <v/>
      </c>
      <c r="I16" s="26" t="n">
        <f aca="false">SUM(I4:I15)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2026-05-25T12:55:52Z</dcterms:created>
  <dc:creator>openpyxl</dc:creator>
  <dc:description/>
  <dc:language>en-US</dc:language>
  <cp:lastModifiedBy/>
  <dcterms:modified xsi:type="dcterms:W3CDTF">2026-05-25T12:55:52Z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